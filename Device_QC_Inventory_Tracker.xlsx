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C Log" sheetId="2" state="visible" r:id="rId4"/>
    <sheet name="Inventory" sheetId="3" state="visible" r:id="rId5"/>
    <sheet name="Summary" sheetId="4" state="visible" r:id="rId6"/>
  </sheets>
  <definedNames>
    <definedName function="false" hidden="true" localSheetId="1" name="_xlnm._FilterDatabase" vbProcedure="false">'QC Log'!$A$1:$J$200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<sst xmlns="http://schemas.openxmlformats.org/spreadsheetml/2006/main" count="112" uniqueCount="69">
  <si>
    <t xml:space="preserve">Device QC Checklist &amp; Inventory Tracker</t>
  </si>
  <si>
    <t xml:space="preserve">How to use:</t>
  </si>
  <si>
    <t xml:space="preserve">1. Add one row per device in the QC Log sheet (blue-text columns are inputs; dropdowns restrict values).</t>
  </si>
  <si>
    <t xml:space="preserve">2. QC Result is calculated automatically from the checklist: Pass only if every check is Yes/Good; otherwise Fail.</t>
  </si>
  <si>
    <t xml:space="preserve">3. The Inventory sheet pulls each device's latest QC result and shows its status automatically.</t>
  </si>
  <si>
    <t xml:space="preserve">4. The Summary sheet counts devices checked, pass/fail and pending per device type.</t>
  </si>
  <si>
    <t xml:space="preserve">Note: Rows 1-8 in QC Log are SAMPLE data to show the format. Delete or overwrite them with your own entries.</t>
  </si>
  <si>
    <t xml:space="preserve">Assumption: Pass rule = Condition is Good AND Powers On = Yes AND Settings Verified = Yes AND Accessories Complete = Yes.</t>
  </si>
  <si>
    <t xml:space="preserve">Device ID</t>
  </si>
  <si>
    <t xml:space="preserve">Device Type</t>
  </si>
  <si>
    <t xml:space="preserve">Brand / Model</t>
  </si>
  <si>
    <t xml:space="preserve">Date Checked</t>
  </si>
  <si>
    <t xml:space="preserve">Physical Condition</t>
  </si>
  <si>
    <t xml:space="preserve">Powers On / Works</t>
  </si>
  <si>
    <t xml:space="preserve">Settings Verified</t>
  </si>
  <si>
    <t xml:space="preserve">Accessories Complete</t>
  </si>
  <si>
    <t xml:space="preserve">QC Result</t>
  </si>
  <si>
    <t xml:space="preserve">Remarks</t>
  </si>
  <si>
    <t xml:space="preserve">DV-001</t>
  </si>
  <si>
    <t xml:space="preserve">Phone</t>
  </si>
  <si>
    <t xml:space="preserve">Samsung Galaxy A14</t>
  </si>
  <si>
    <t xml:space="preserve">Good</t>
  </si>
  <si>
    <t xml:space="preserve">Yes</t>
  </si>
  <si>
    <t xml:space="preserve">DV-002</t>
  </si>
  <si>
    <t xml:space="preserve">Redmi Note 12</t>
  </si>
  <si>
    <t xml:space="preserve">Minor Damage</t>
  </si>
  <si>
    <t xml:space="preserve">Scratch on back panel</t>
  </si>
  <si>
    <t xml:space="preserve">DV-003</t>
  </si>
  <si>
    <t xml:space="preserve">Camera</t>
  </si>
  <si>
    <t xml:space="preserve">Canon EOS 1500D</t>
  </si>
  <si>
    <t xml:space="preserve">DV-004</t>
  </si>
  <si>
    <t xml:space="preserve">GoPro Hero 9</t>
  </si>
  <si>
    <t xml:space="preserve">No</t>
  </si>
  <si>
    <t xml:space="preserve">Does not power on</t>
  </si>
  <si>
    <t xml:space="preserve">DV-005</t>
  </si>
  <si>
    <t xml:space="preserve">SD Card</t>
  </si>
  <si>
    <t xml:space="preserve">SanDisk 64GB</t>
  </si>
  <si>
    <t xml:space="preserve">DV-006</t>
  </si>
  <si>
    <t xml:space="preserve">Kingston 32GB</t>
  </si>
  <si>
    <t xml:space="preserve">DV-007</t>
  </si>
  <si>
    <t xml:space="preserve">Cable</t>
  </si>
  <si>
    <t xml:space="preserve">USB-C to USB-A</t>
  </si>
  <si>
    <t xml:space="preserve">Damaged</t>
  </si>
  <si>
    <t xml:space="preserve">Frayed connector</t>
  </si>
  <si>
    <t xml:space="preserve">DV-008</t>
  </si>
  <si>
    <t xml:space="preserve">Accessory</t>
  </si>
  <si>
    <t xml:space="preserve">Tripod Stand</t>
  </si>
  <si>
    <t xml:space="preserve">Mounting plate missing</t>
  </si>
  <si>
    <t xml:space="preserve">Latest QC Result</t>
  </si>
  <si>
    <t xml:space="preserve">Status</t>
  </si>
  <si>
    <t xml:space="preserve">Location</t>
  </si>
  <si>
    <t xml:space="preserve">Last Updated</t>
  </si>
  <si>
    <t xml:space="preserve">Shelf A1</t>
  </si>
  <si>
    <t xml:space="preserve">Shelf B2</t>
  </si>
  <si>
    <t xml:space="preserve">Drawer C1</t>
  </si>
  <si>
    <t xml:space="preserve">Drawer C2</t>
  </si>
  <si>
    <t xml:space="preserve">Shelf B3</t>
  </si>
  <si>
    <t xml:space="preserve">QC Summary</t>
  </si>
  <si>
    <t xml:space="preserve">Total Checked</t>
  </si>
  <si>
    <t xml:space="preserve">Pass</t>
  </si>
  <si>
    <t xml:space="preserve">Fail</t>
  </si>
  <si>
    <t xml:space="preserve">Pending</t>
  </si>
  <si>
    <t xml:space="preserve">Pass Rate</t>
  </si>
  <si>
    <t xml:space="preserve">Total</t>
  </si>
  <si>
    <t xml:space="preserve">Inventory status</t>
  </si>
  <si>
    <t xml:space="preserve">Count</t>
  </si>
  <si>
    <t xml:space="preserve">Passed</t>
  </si>
  <si>
    <t xml:space="preserve">Rejected</t>
  </si>
  <si>
    <t xml:space="preserve">In QC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</si>
</sst>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12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</row>
    <row r="2" customFormat="false" ht="15" hidden="false" customHeight="false" outlineLevel="0" collapsed="false">
      <c r="A2" s="5" t="s">
        <v>18</v>
      </c>
      <c r="B2" s="5" t="s">
        <v>19</v>
      </c>
      <c r="C2" s="6" t="s">
        <v>20</v>
      </c>
      <c r="D2" s="7" t="n">
        <v>46307</v>
      </c>
      <c r="E2" s="5" t="s">
        <v>21</v>
      </c>
      <c r="F2" s="5" t="s">
        <v>22</v>
      </c>
      <c r="G2" s="5" t="s">
        <v>22</v>
      </c>
      <c r="H2" s="5" t="s">
        <v>22</v>
      </c>
      <c r="I2" s="8" t="str">
        <f aca="false">IF(A2="","",IF(OR(E2="",F2="",G2="",H2=""),"Pending",IF(AND(E2="Good",F2="Yes",G2="Yes",H2="Yes"),"Pass","Fail")))</f>
        <v>Pass</v>
      </c>
      <c r="J2" s="6"/>
    </row>
    <row r="3" customFormat="false" ht="15" hidden="false" customHeight="false" outlineLevel="0" collapsed="false">
      <c r="A3" s="5" t="s">
        <v>23</v>
      </c>
      <c r="B3" s="5" t="s">
        <v>19</v>
      </c>
      <c r="C3" s="6" t="s">
        <v>24</v>
      </c>
      <c r="D3" s="7" t="n">
        <v>46307</v>
      </c>
      <c r="E3" s="5" t="s">
        <v>25</v>
      </c>
      <c r="F3" s="5" t="s">
        <v>22</v>
      </c>
      <c r="G3" s="5" t="s">
        <v>22</v>
      </c>
      <c r="H3" s="5" t="s">
        <v>22</v>
      </c>
      <c r="I3" s="8" t="str">
        <f aca="false">IF(A3="","",IF(OR(E3="",F3="",G3="",H3=""),"Pending",IF(AND(E3="Good",F3="Yes",G3="Yes",H3="Yes"),"Pass","Fail")))</f>
        <v>Fail</v>
      </c>
      <c r="J3" s="6" t="s">
        <v>26</v>
      </c>
    </row>
    <row r="4" customFormat="false" ht="15" hidden="false" customHeight="false" outlineLevel="0" collapsed="false">
      <c r="A4" s="5" t="s">
        <v>27</v>
      </c>
      <c r="B4" s="5" t="s">
        <v>28</v>
      </c>
      <c r="C4" s="6" t="s">
        <v>29</v>
      </c>
      <c r="D4" s="7" t="n">
        <v>46308</v>
      </c>
      <c r="E4" s="5" t="s">
        <v>21</v>
      </c>
      <c r="F4" s="5" t="s">
        <v>22</v>
      </c>
      <c r="G4" s="5" t="s">
        <v>22</v>
      </c>
      <c r="H4" s="5" t="s">
        <v>22</v>
      </c>
      <c r="I4" s="8" t="str">
        <f aca="false">IF(A4="","",IF(OR(E4="",F4="",G4="",H4=""),"Pending",IF(AND(E4="Good",F4="Yes",G4="Yes",H4="Yes"),"Pass","Fail")))</f>
        <v>Pass</v>
      </c>
      <c r="J4" s="6"/>
    </row>
    <row r="5" customFormat="false" ht="15" hidden="false" customHeight="false" outlineLevel="0" collapsed="false">
      <c r="A5" s="5" t="s">
        <v>30</v>
      </c>
      <c r="B5" s="5" t="s">
        <v>28</v>
      </c>
      <c r="C5" s="6" t="s">
        <v>31</v>
      </c>
      <c r="D5" s="7" t="n">
        <v>46308</v>
      </c>
      <c r="E5" s="5" t="s">
        <v>21</v>
      </c>
      <c r="F5" s="5" t="s">
        <v>32</v>
      </c>
      <c r="G5" s="5" t="s">
        <v>32</v>
      </c>
      <c r="H5" s="5" t="s">
        <v>22</v>
      </c>
      <c r="I5" s="8" t="str">
        <f aca="false">IF(A5="","",IF(OR(E5="",F5="",G5="",H5=""),"Pending",IF(AND(E5="Good",F5="Yes",G5="Yes",H5="Yes"),"Pass","Fail")))</f>
        <v>Fail</v>
      </c>
      <c r="J5" s="6" t="s">
        <v>33</v>
      </c>
    </row>
    <row r="6" customFormat="false" ht="15" hidden="false" customHeight="false" outlineLevel="0" collapsed="false">
      <c r="A6" s="5" t="s">
        <v>34</v>
      </c>
      <c r="B6" s="5" t="s">
        <v>35</v>
      </c>
      <c r="C6" s="6" t="s">
        <v>36</v>
      </c>
      <c r="D6" s="7" t="n">
        <v>46309</v>
      </c>
      <c r="E6" s="5" t="s">
        <v>21</v>
      </c>
      <c r="F6" s="5" t="s">
        <v>22</v>
      </c>
      <c r="G6" s="5" t="s">
        <v>22</v>
      </c>
      <c r="H6" s="5" t="s">
        <v>22</v>
      </c>
      <c r="I6" s="8" t="str">
        <f aca="false">IF(A6="","",IF(OR(E6="",F6="",G6="",H6=""),"Pending",IF(AND(E6="Good",F6="Yes",G6="Yes",H6="Yes"),"Pass","Fail")))</f>
        <v>Pass</v>
      </c>
      <c r="J6" s="6"/>
    </row>
    <row r="7" customFormat="false" ht="15" hidden="false" customHeight="false" outlineLevel="0" collapsed="false">
      <c r="A7" s="5" t="s">
        <v>37</v>
      </c>
      <c r="B7" s="5" t="s">
        <v>35</v>
      </c>
      <c r="C7" s="6" t="s">
        <v>38</v>
      </c>
      <c r="D7" s="7" t="n">
        <v>46309</v>
      </c>
      <c r="E7" s="5" t="s">
        <v>21</v>
      </c>
      <c r="F7" s="5" t="s">
        <v>22</v>
      </c>
      <c r="G7" s="5" t="s">
        <v>22</v>
      </c>
      <c r="H7" s="5" t="s">
        <v>22</v>
      </c>
      <c r="I7" s="8" t="str">
        <f aca="false">IF(A7="","",IF(OR(E7="",F7="",G7="",H7=""),"Pending",IF(AND(E7="Good",F7="Yes",G7="Yes",H7="Yes"),"Pass","Fail")))</f>
        <v>Pass</v>
      </c>
      <c r="J7" s="6"/>
    </row>
    <row r="8" customFormat="false" ht="15" hidden="false" customHeight="false" outlineLevel="0" collapsed="false">
      <c r="A8" s="5" t="s">
        <v>39</v>
      </c>
      <c r="B8" s="5" t="s">
        <v>40</v>
      </c>
      <c r="C8" s="6" t="s">
        <v>41</v>
      </c>
      <c r="D8" s="7" t="n">
        <v>46309</v>
      </c>
      <c r="E8" s="5" t="s">
        <v>42</v>
      </c>
      <c r="F8" s="5" t="s">
        <v>32</v>
      </c>
      <c r="G8" s="5" t="s">
        <v>22</v>
      </c>
      <c r="H8" s="5" t="s">
        <v>22</v>
      </c>
      <c r="I8" s="8" t="str">
        <f aca="false">IF(A8="","",IF(OR(E8="",F8="",G8="",H8=""),"Pending",IF(AND(E8="Good",F8="Yes",G8="Yes",H8="Yes"),"Pass","Fail")))</f>
        <v>Fail</v>
      </c>
      <c r="J8" s="6" t="s">
        <v>43</v>
      </c>
    </row>
    <row r="9" customFormat="false" ht="15" hidden="false" customHeight="false" outlineLevel="0" collapsed="false">
      <c r="A9" s="5" t="s">
        <v>44</v>
      </c>
      <c r="B9" s="5" t="s">
        <v>45</v>
      </c>
      <c r="C9" s="6" t="s">
        <v>46</v>
      </c>
      <c r="D9" s="7" t="n">
        <v>46310</v>
      </c>
      <c r="E9" s="5" t="s">
        <v>21</v>
      </c>
      <c r="F9" s="5" t="s">
        <v>22</v>
      </c>
      <c r="G9" s="5" t="s">
        <v>22</v>
      </c>
      <c r="H9" s="5" t="s">
        <v>32</v>
      </c>
      <c r="I9" s="8" t="str">
        <f aca="false">IF(A9="","",IF(OR(E9="",F9="",G9="",H9=""),"Pending",IF(AND(E9="Good",F9="Yes",G9="Yes",H9="Yes"),"Pass","Fail")))</f>
        <v>Fail</v>
      </c>
      <c r="J9" s="6" t="s">
        <v>47</v>
      </c>
    </row>
    <row r="10" customFormat="false" ht="15" hidden="false" customHeight="false" outlineLevel="0" collapsed="false">
      <c r="A10" s="5"/>
      <c r="B10" s="5"/>
      <c r="C10" s="6"/>
      <c r="D10" s="7"/>
      <c r="E10" s="5"/>
      <c r="F10" s="5"/>
      <c r="G10" s="5"/>
      <c r="H10" s="5"/>
      <c r="I10" s="8" t="str">
        <f aca="false">IF(A10="","",IF(OR(E10="",F10="",G10="",H10=""),"Pending",IF(AND(E10="Good",F10="Yes",G10="Yes",H10="Yes"),"Pass","Fail")))</f>
        <v/>
      </c>
      <c r="J10" s="6"/>
    </row>
    <row r="11" customFormat="false" ht="15" hidden="false" customHeight="false" outlineLevel="0" collapsed="false">
      <c r="A11" s="5"/>
      <c r="B11" s="5"/>
      <c r="C11" s="6"/>
      <c r="D11" s="7"/>
      <c r="E11" s="5"/>
      <c r="F11" s="5"/>
      <c r="G11" s="5"/>
      <c r="H11" s="5"/>
      <c r="I11" s="8" t="str">
        <f aca="false">IF(A11="","",IF(OR(E11="",F11="",G11="",H11=""),"Pending",IF(AND(E11="Good",F11="Yes",G11="Yes",H11="Yes"),"Pass","Fail")))</f>
        <v/>
      </c>
      <c r="J11" s="6"/>
    </row>
    <row r="12" customFormat="false" ht="15" hidden="false" customHeight="false" outlineLevel="0" collapsed="false">
      <c r="A12" s="5"/>
      <c r="B12" s="5"/>
      <c r="C12" s="6"/>
      <c r="D12" s="7"/>
      <c r="E12" s="5"/>
      <c r="F12" s="5"/>
      <c r="G12" s="5"/>
      <c r="H12" s="5"/>
      <c r="I12" s="8" t="str">
        <f aca="false">IF(A12="","",IF(OR(E12="",F12="",G12="",H12=""),"Pending",IF(AND(E12="Good",F12="Yes",G12="Yes",H12="Yes"),"Pass","Fail")))</f>
        <v/>
      </c>
      <c r="J12" s="6"/>
    </row>
    <row r="13" customFormat="false" ht="15" hidden="false" customHeight="false" outlineLevel="0" collapsed="false">
      <c r="A13" s="5"/>
      <c r="B13" s="5"/>
      <c r="C13" s="6"/>
      <c r="D13" s="7"/>
      <c r="E13" s="5"/>
      <c r="F13" s="5"/>
      <c r="G13" s="5"/>
      <c r="H13" s="5"/>
      <c r="I13" s="8" t="str">
        <f aca="false">IF(A13="","",IF(OR(E13="",F13="",G13="",H13=""),"Pending",IF(AND(E13="Good",F13="Yes",G13="Yes",H13="Yes"),"Pass","Fail")))</f>
        <v/>
      </c>
      <c r="J13" s="6"/>
    </row>
    <row r="14" customFormat="false" ht="15" hidden="false" customHeight="false" outlineLevel="0" collapsed="false">
      <c r="A14" s="5"/>
      <c r="B14" s="5"/>
      <c r="C14" s="6"/>
      <c r="D14" s="7"/>
      <c r="E14" s="5"/>
      <c r="F14" s="5"/>
      <c r="G14" s="5"/>
      <c r="H14" s="5"/>
      <c r="I14" s="8" t="str">
        <f aca="false">IF(A14="","",IF(OR(E14="",F14="",G14="",H14=""),"Pending",IF(AND(E14="Good",F14="Yes",G14="Yes",H14="Yes"),"Pass","Fail")))</f>
        <v/>
      </c>
      <c r="J14" s="6"/>
    </row>
    <row r="15" customFormat="false" ht="15" hidden="false" customHeight="false" outlineLevel="0" collapsed="false">
      <c r="A15" s="5"/>
      <c r="B15" s="5"/>
      <c r="C15" s="6"/>
      <c r="D15" s="7"/>
      <c r="E15" s="5"/>
      <c r="F15" s="5"/>
      <c r="G15" s="5"/>
      <c r="H15" s="5"/>
      <c r="I15" s="8" t="str">
        <f aca="false">IF(A15="","",IF(OR(E15="",F15="",G15="",H15=""),"Pending",IF(AND(E15="Good",F15="Yes",G15="Yes",H15="Yes"),"Pass","Fail")))</f>
        <v/>
      </c>
      <c r="J15" s="6"/>
    </row>
    <row r="16" customFormat="false" ht="15" hidden="false" customHeight="false" outlineLevel="0" collapsed="false">
      <c r="A16" s="5"/>
      <c r="B16" s="5"/>
      <c r="C16" s="6"/>
      <c r="D16" s="7"/>
      <c r="E16" s="5"/>
      <c r="F16" s="5"/>
      <c r="G16" s="5"/>
      <c r="H16" s="5"/>
      <c r="I16" s="8" t="str">
        <f aca="false">IF(A16="","",IF(OR(E16="",F16="",G16="",H16=""),"Pending",IF(AND(E16="Good",F16="Yes",G16="Yes",H16="Yes"),"Pass","Fail")))</f>
        <v/>
      </c>
      <c r="J16" s="6"/>
    </row>
    <row r="17" customFormat="false" ht="15" hidden="false" customHeight="false" outlineLevel="0" collapsed="false">
      <c r="A17" s="5"/>
      <c r="B17" s="5"/>
      <c r="C17" s="6"/>
      <c r="D17" s="7"/>
      <c r="E17" s="5"/>
      <c r="F17" s="5"/>
      <c r="G17" s="5"/>
      <c r="H17" s="5"/>
      <c r="I17" s="8" t="str">
        <f aca="false">IF(A17="","",IF(OR(E17="",F17="",G17="",H17=""),"Pending",IF(AND(E17="Good",F17="Yes",G17="Yes",H17="Yes"),"Pass","Fail")))</f>
        <v/>
      </c>
      <c r="J17" s="6"/>
    </row>
    <row r="18" customFormat="false" ht="15" hidden="false" customHeight="false" outlineLevel="0" collapsed="false">
      <c r="A18" s="5"/>
      <c r="B18" s="5"/>
      <c r="C18" s="6"/>
      <c r="D18" s="7"/>
      <c r="E18" s="5"/>
      <c r="F18" s="5"/>
      <c r="G18" s="5"/>
      <c r="H18" s="5"/>
      <c r="I18" s="8" t="str">
        <f aca="false">IF(A18="","",IF(OR(E18="",F18="",G18="",H18=""),"Pending",IF(AND(E18="Good",F18="Yes",G18="Yes",H18="Yes"),"Pass","Fail")))</f>
        <v/>
      </c>
      <c r="J18" s="6"/>
    </row>
    <row r="19" customFormat="false" ht="15" hidden="false" customHeight="false" outlineLevel="0" collapsed="false">
      <c r="A19" s="5"/>
      <c r="B19" s="5"/>
      <c r="C19" s="6"/>
      <c r="D19" s="7"/>
      <c r="E19" s="5"/>
      <c r="F19" s="5"/>
      <c r="G19" s="5"/>
      <c r="H19" s="5"/>
      <c r="I19" s="8" t="str">
        <f aca="false">IF(A19="","",IF(OR(E19="",F19="",G19="",H19=""),"Pending",IF(AND(E19="Good",F19="Yes",G19="Yes",H19="Yes"),"Pass","Fail")))</f>
        <v/>
      </c>
      <c r="J19" s="6"/>
    </row>
    <row r="20" customFormat="false" ht="15" hidden="false" customHeight="false" outlineLevel="0" collapsed="false">
      <c r="A20" s="5"/>
      <c r="B20" s="5"/>
      <c r="C20" s="6"/>
      <c r="D20" s="7"/>
      <c r="E20" s="5"/>
      <c r="F20" s="5"/>
      <c r="G20" s="5"/>
      <c r="H20" s="5"/>
      <c r="I20" s="8" t="str">
        <f aca="false">IF(A20="","",IF(OR(E20="",F20="",G20="",H20=""),"Pending",IF(AND(E20="Good",F20="Yes",G20="Yes",H20="Yes"),"Pass","Fail")))</f>
        <v/>
      </c>
      <c r="J20" s="6"/>
    </row>
    <row r="21" customFormat="false" ht="15" hidden="false" customHeight="false" outlineLevel="0" collapsed="false">
      <c r="A21" s="5"/>
      <c r="B21" s="5"/>
      <c r="C21" s="6"/>
      <c r="D21" s="7"/>
      <c r="E21" s="5"/>
      <c r="F21" s="5"/>
      <c r="G21" s="5"/>
      <c r="H21" s="5"/>
      <c r="I21" s="8" t="str">
        <f aca="false">IF(A21="","",IF(OR(E21="",F21="",G21="",H21=""),"Pending",IF(AND(E21="Good",F21="Yes",G21="Yes",H21="Yes"),"Pass","Fail")))</f>
        <v/>
      </c>
      <c r="J21" s="6"/>
    </row>
    <row r="22" customFormat="false" ht="15" hidden="false" customHeight="false" outlineLevel="0" collapsed="false">
      <c r="A22" s="5"/>
      <c r="B22" s="5"/>
      <c r="C22" s="6"/>
      <c r="D22" s="7"/>
      <c r="E22" s="5"/>
      <c r="F22" s="5"/>
      <c r="G22" s="5"/>
      <c r="H22" s="5"/>
      <c r="I22" s="8" t="str">
        <f aca="false">IF(A22="","",IF(OR(E22="",F22="",G22="",H22=""),"Pending",IF(AND(E22="Good",F22="Yes",G22="Yes",H22="Yes"),"Pass","Fail")))</f>
        <v/>
      </c>
      <c r="J22" s="6"/>
    </row>
    <row r="23" customFormat="false" ht="15" hidden="false" customHeight="false" outlineLevel="0" collapsed="false">
      <c r="A23" s="5"/>
      <c r="B23" s="5"/>
      <c r="C23" s="6"/>
      <c r="D23" s="7"/>
      <c r="E23" s="5"/>
      <c r="F23" s="5"/>
      <c r="G23" s="5"/>
      <c r="H23" s="5"/>
      <c r="I23" s="8" t="str">
        <f aca="false">IF(A23="","",IF(OR(E23="",F23="",G23="",H23=""),"Pending",IF(AND(E23="Good",F23="Yes",G23="Yes",H23="Yes"),"Pass","Fail")))</f>
        <v/>
      </c>
      <c r="J23" s="6"/>
    </row>
    <row r="24" customFormat="false" ht="15" hidden="false" customHeight="false" outlineLevel="0" collapsed="false">
      <c r="A24" s="5"/>
      <c r="B24" s="5"/>
      <c r="C24" s="6"/>
      <c r="D24" s="7"/>
      <c r="E24" s="5"/>
      <c r="F24" s="5"/>
      <c r="G24" s="5"/>
      <c r="H24" s="5"/>
      <c r="I24" s="8" t="str">
        <f aca="false">IF(A24="","",IF(OR(E24="",F24="",G24="",H24=""),"Pending",IF(AND(E24="Good",F24="Yes",G24="Yes",H24="Yes"),"Pass","Fail")))</f>
        <v/>
      </c>
      <c r="J24" s="6"/>
    </row>
    <row r="25" customFormat="false" ht="15" hidden="false" customHeight="false" outlineLevel="0" collapsed="false">
      <c r="A25" s="5"/>
      <c r="B25" s="5"/>
      <c r="C25" s="6"/>
      <c r="D25" s="7"/>
      <c r="E25" s="5"/>
      <c r="F25" s="5"/>
      <c r="G25" s="5"/>
      <c r="H25" s="5"/>
      <c r="I25" s="8" t="str">
        <f aca="false">IF(A25="","",IF(OR(E25="",F25="",G25="",H25=""),"Pending",IF(AND(E25="Good",F25="Yes",G25="Yes",H25="Yes"),"Pass","Fail")))</f>
        <v/>
      </c>
      <c r="J25" s="6"/>
    </row>
    <row r="26" customFormat="false" ht="15" hidden="false" customHeight="false" outlineLevel="0" collapsed="false">
      <c r="A26" s="5"/>
      <c r="B26" s="5"/>
      <c r="C26" s="6"/>
      <c r="D26" s="7"/>
      <c r="E26" s="5"/>
      <c r="F26" s="5"/>
      <c r="G26" s="5"/>
      <c r="H26" s="5"/>
      <c r="I26" s="8" t="str">
        <f aca="false">IF(A26="","",IF(OR(E26="",F26="",G26="",H26=""),"Pending",IF(AND(E26="Good",F26="Yes",G26="Yes",H26="Yes"),"Pass","Fail")))</f>
        <v/>
      </c>
      <c r="J26" s="6"/>
    </row>
    <row r="27" customFormat="false" ht="15" hidden="false" customHeight="false" outlineLevel="0" collapsed="false">
      <c r="A27" s="5"/>
      <c r="B27" s="5"/>
      <c r="C27" s="6"/>
      <c r="D27" s="7"/>
      <c r="E27" s="5"/>
      <c r="F27" s="5"/>
      <c r="G27" s="5"/>
      <c r="H27" s="5"/>
      <c r="I27" s="8" t="str">
        <f aca="false">IF(A27="","",IF(OR(E27="",F27="",G27="",H27=""),"Pending",IF(AND(E27="Good",F27="Yes",G27="Yes",H27="Yes"),"Pass","Fail")))</f>
        <v/>
      </c>
      <c r="J27" s="6"/>
    </row>
    <row r="28" customFormat="false" ht="15" hidden="false" customHeight="false" outlineLevel="0" collapsed="false">
      <c r="A28" s="5"/>
      <c r="B28" s="5"/>
      <c r="C28" s="6"/>
      <c r="D28" s="7"/>
      <c r="E28" s="5"/>
      <c r="F28" s="5"/>
      <c r="G28" s="5"/>
      <c r="H28" s="5"/>
      <c r="I28" s="8" t="str">
        <f aca="false">IF(A28="","",IF(OR(E28="",F28="",G28="",H28=""),"Pending",IF(AND(E28="Good",F28="Yes",G28="Yes",H28="Yes"),"Pass","Fail")))</f>
        <v/>
      </c>
      <c r="J28" s="6"/>
    </row>
    <row r="29" customFormat="false" ht="15" hidden="false" customHeight="false" outlineLevel="0" collapsed="false">
      <c r="A29" s="5"/>
      <c r="B29" s="5"/>
      <c r="C29" s="6"/>
      <c r="D29" s="7"/>
      <c r="E29" s="5"/>
      <c r="F29" s="5"/>
      <c r="G29" s="5"/>
      <c r="H29" s="5"/>
      <c r="I29" s="8" t="str">
        <f aca="false">IF(A29="","",IF(OR(E29="",F29="",G29="",H29=""),"Pending",IF(AND(E29="Good",F29="Yes",G29="Yes",H29="Yes"),"Pass","Fail")))</f>
        <v/>
      </c>
      <c r="J29" s="6"/>
    </row>
    <row r="30" customFormat="false" ht="15" hidden="false" customHeight="false" outlineLevel="0" collapsed="false">
      <c r="A30" s="5"/>
      <c r="B30" s="5"/>
      <c r="C30" s="6"/>
      <c r="D30" s="7"/>
      <c r="E30" s="5"/>
      <c r="F30" s="5"/>
      <c r="G30" s="5"/>
      <c r="H30" s="5"/>
      <c r="I30" s="8" t="str">
        <f aca="false">IF(A30="","",IF(OR(E30="",F30="",G30="",H30=""),"Pending",IF(AND(E30="Good",F30="Yes",G30="Yes",H30="Yes"),"Pass","Fail")))</f>
        <v/>
      </c>
      <c r="J30" s="6"/>
    </row>
    <row r="31" customFormat="false" ht="15" hidden="false" customHeight="false" outlineLevel="0" collapsed="false">
      <c r="A31" s="5"/>
      <c r="B31" s="5"/>
      <c r="C31" s="6"/>
      <c r="D31" s="7"/>
      <c r="E31" s="5"/>
      <c r="F31" s="5"/>
      <c r="G31" s="5"/>
      <c r="H31" s="5"/>
      <c r="I31" s="8" t="str">
        <f aca="false">IF(A31="","",IF(OR(E31="",F31="",G31="",H31=""),"Pending",IF(AND(E31="Good",F31="Yes",G31="Yes",H31="Yes"),"Pass","Fail")))</f>
        <v/>
      </c>
      <c r="J31" s="6"/>
    </row>
    <row r="32" customFormat="false" ht="15" hidden="false" customHeight="false" outlineLevel="0" collapsed="false">
      <c r="A32" s="5"/>
      <c r="B32" s="5"/>
      <c r="C32" s="6"/>
      <c r="D32" s="7"/>
      <c r="E32" s="5"/>
      <c r="F32" s="5"/>
      <c r="G32" s="5"/>
      <c r="H32" s="5"/>
      <c r="I32" s="8" t="str">
        <f aca="false">IF(A32="","",IF(OR(E32="",F32="",G32="",H32=""),"Pending",IF(AND(E32="Good",F32="Yes",G32="Yes",H32="Yes"),"Pass","Fail")))</f>
        <v/>
      </c>
      <c r="J32" s="6"/>
    </row>
    <row r="33" customFormat="false" ht="15" hidden="false" customHeight="false" outlineLevel="0" collapsed="false">
      <c r="A33" s="5"/>
      <c r="B33" s="5"/>
      <c r="C33" s="6"/>
      <c r="D33" s="7"/>
      <c r="E33" s="5"/>
      <c r="F33" s="5"/>
      <c r="G33" s="5"/>
      <c r="H33" s="5"/>
      <c r="I33" s="8" t="str">
        <f aca="false">IF(A33="","",IF(OR(E33="",F33="",G33="",H33=""),"Pending",IF(AND(E33="Good",F33="Yes",G33="Yes",H33="Yes"),"Pass","Fail")))</f>
        <v/>
      </c>
      <c r="J33" s="6"/>
    </row>
    <row r="34" customFormat="false" ht="15" hidden="false" customHeight="false" outlineLevel="0" collapsed="false">
      <c r="A34" s="5"/>
      <c r="B34" s="5"/>
      <c r="C34" s="6"/>
      <c r="D34" s="7"/>
      <c r="E34" s="5"/>
      <c r="F34" s="5"/>
      <c r="G34" s="5"/>
      <c r="H34" s="5"/>
      <c r="I34" s="8" t="str">
        <f aca="false">IF(A34="","",IF(OR(E34="",F34="",G34="",H34=""),"Pending",IF(AND(E34="Good",F34="Yes",G34="Yes",H34="Yes"),"Pass","Fail")))</f>
        <v/>
      </c>
      <c r="J34" s="6"/>
    </row>
    <row r="35" customFormat="false" ht="15" hidden="false" customHeight="false" outlineLevel="0" collapsed="false">
      <c r="A35" s="5"/>
      <c r="B35" s="5"/>
      <c r="C35" s="6"/>
      <c r="D35" s="7"/>
      <c r="E35" s="5"/>
      <c r="F35" s="5"/>
      <c r="G35" s="5"/>
      <c r="H35" s="5"/>
      <c r="I35" s="8" t="str">
        <f aca="false">IF(A35="","",IF(OR(E35="",F35="",G35="",H35=""),"Pending",IF(AND(E35="Good",F35="Yes",G35="Yes",H35="Yes"),"Pass","Fail")))</f>
        <v/>
      </c>
      <c r="J35" s="6"/>
    </row>
    <row r="36" customFormat="false" ht="15" hidden="false" customHeight="false" outlineLevel="0" collapsed="false">
      <c r="A36" s="5"/>
      <c r="B36" s="5"/>
      <c r="C36" s="6"/>
      <c r="D36" s="7"/>
      <c r="E36" s="5"/>
      <c r="F36" s="5"/>
      <c r="G36" s="5"/>
      <c r="H36" s="5"/>
      <c r="I36" s="8" t="str">
        <f aca="false">IF(A36="","",IF(OR(E36="",F36="",G36="",H36=""),"Pending",IF(AND(E36="Good",F36="Yes",G36="Yes",H36="Yes"),"Pass","Fail")))</f>
        <v/>
      </c>
      <c r="J36" s="6"/>
    </row>
    <row r="37" customFormat="false" ht="15" hidden="false" customHeight="false" outlineLevel="0" collapsed="false">
      <c r="A37" s="5"/>
      <c r="B37" s="5"/>
      <c r="C37" s="6"/>
      <c r="D37" s="7"/>
      <c r="E37" s="5"/>
      <c r="F37" s="5"/>
      <c r="G37" s="5"/>
      <c r="H37" s="5"/>
      <c r="I37" s="8" t="str">
        <f aca="false">IF(A37="","",IF(OR(E37="",F37="",G37="",H37=""),"Pending",IF(AND(E37="Good",F37="Yes",G37="Yes",H37="Yes"),"Pass","Fail")))</f>
        <v/>
      </c>
      <c r="J37" s="6"/>
    </row>
    <row r="38" customFormat="false" ht="15" hidden="false" customHeight="false" outlineLevel="0" collapsed="false">
      <c r="A38" s="5"/>
      <c r="B38" s="5"/>
      <c r="C38" s="6"/>
      <c r="D38" s="7"/>
      <c r="E38" s="5"/>
      <c r="F38" s="5"/>
      <c r="G38" s="5"/>
      <c r="H38" s="5"/>
      <c r="I38" s="8" t="str">
        <f aca="false">IF(A38="","",IF(OR(E38="",F38="",G38="",H38=""),"Pending",IF(AND(E38="Good",F38="Yes",G38="Yes",H38="Yes"),"Pass","Fail")))</f>
        <v/>
      </c>
      <c r="J38" s="6"/>
    </row>
    <row r="39" customFormat="false" ht="15" hidden="false" customHeight="false" outlineLevel="0" collapsed="false">
      <c r="A39" s="5"/>
      <c r="B39" s="5"/>
      <c r="C39" s="6"/>
      <c r="D39" s="7"/>
      <c r="E39" s="5"/>
      <c r="F39" s="5"/>
      <c r="G39" s="5"/>
      <c r="H39" s="5"/>
      <c r="I39" s="8" t="str">
        <f aca="false">IF(A39="","",IF(OR(E39="",F39="",G39="",H39=""),"Pending",IF(AND(E39="Good",F39="Yes",G39="Yes",H39="Yes"),"Pass","Fail")))</f>
        <v/>
      </c>
      <c r="J39" s="6"/>
    </row>
    <row r="40" customFormat="false" ht="15" hidden="false" customHeight="false" outlineLevel="0" collapsed="false">
      <c r="A40" s="5"/>
      <c r="B40" s="5"/>
      <c r="C40" s="6"/>
      <c r="D40" s="7"/>
      <c r="E40" s="5"/>
      <c r="F40" s="5"/>
      <c r="G40" s="5"/>
      <c r="H40" s="5"/>
      <c r="I40" s="8" t="str">
        <f aca="false">IF(A40="","",IF(OR(E40="",F40="",G40="",H40=""),"Pending",IF(AND(E40="Good",F40="Yes",G40="Yes",H40="Yes"),"Pass","Fail")))</f>
        <v/>
      </c>
      <c r="J40" s="6"/>
    </row>
    <row r="41" customFormat="false" ht="15" hidden="false" customHeight="false" outlineLevel="0" collapsed="false">
      <c r="A41" s="5"/>
      <c r="B41" s="5"/>
      <c r="C41" s="6"/>
      <c r="D41" s="7"/>
      <c r="E41" s="5"/>
      <c r="F41" s="5"/>
      <c r="G41" s="5"/>
      <c r="H41" s="5"/>
      <c r="I41" s="8" t="str">
        <f aca="false">IF(A41="","",IF(OR(E41="",F41="",G41="",H41=""),"Pending",IF(AND(E41="Good",F41="Yes",G41="Yes",H41="Yes"),"Pass","Fail")))</f>
        <v/>
      </c>
      <c r="J41" s="6"/>
    </row>
    <row r="42" customFormat="false" ht="15" hidden="false" customHeight="false" outlineLevel="0" collapsed="false">
      <c r="A42" s="5"/>
      <c r="B42" s="5"/>
      <c r="C42" s="6"/>
      <c r="D42" s="7"/>
      <c r="E42" s="5"/>
      <c r="F42" s="5"/>
      <c r="G42" s="5"/>
      <c r="H42" s="5"/>
      <c r="I42" s="8" t="str">
        <f aca="false">IF(A42="","",IF(OR(E42="",F42="",G42="",H42=""),"Pending",IF(AND(E42="Good",F42="Yes",G42="Yes",H42="Yes"),"Pass","Fail")))</f>
        <v/>
      </c>
      <c r="J42" s="6"/>
    </row>
    <row r="43" customFormat="false" ht="15" hidden="false" customHeight="false" outlineLevel="0" collapsed="false">
      <c r="A43" s="5"/>
      <c r="B43" s="5"/>
      <c r="C43" s="6"/>
      <c r="D43" s="7"/>
      <c r="E43" s="5"/>
      <c r="F43" s="5"/>
      <c r="G43" s="5"/>
      <c r="H43" s="5"/>
      <c r="I43" s="8" t="str">
        <f aca="false">IF(A43="","",IF(OR(E43="",F43="",G43="",H43=""),"Pending",IF(AND(E43="Good",F43="Yes",G43="Yes",H43="Yes"),"Pass","Fail")))</f>
        <v/>
      </c>
      <c r="J43" s="6"/>
    </row>
    <row r="44" customFormat="false" ht="15" hidden="false" customHeight="false" outlineLevel="0" collapsed="false">
      <c r="A44" s="5"/>
      <c r="B44" s="5"/>
      <c r="C44" s="6"/>
      <c r="D44" s="7"/>
      <c r="E44" s="5"/>
      <c r="F44" s="5"/>
      <c r="G44" s="5"/>
      <c r="H44" s="5"/>
      <c r="I44" s="8" t="str">
        <f aca="false">IF(A44="","",IF(OR(E44="",F44="",G44="",H44=""),"Pending",IF(AND(E44="Good",F44="Yes",G44="Yes",H44="Yes"),"Pass","Fail")))</f>
        <v/>
      </c>
      <c r="J44" s="6"/>
    </row>
    <row r="45" customFormat="false" ht="15" hidden="false" customHeight="false" outlineLevel="0" collapsed="false">
      <c r="A45" s="5"/>
      <c r="B45" s="5"/>
      <c r="C45" s="6"/>
      <c r="D45" s="7"/>
      <c r="E45" s="5"/>
      <c r="F45" s="5"/>
      <c r="G45" s="5"/>
      <c r="H45" s="5"/>
      <c r="I45" s="8" t="str">
        <f aca="false">IF(A45="","",IF(OR(E45="",F45="",G45="",H45=""),"Pending",IF(AND(E45="Good",F45="Yes",G45="Yes",H45="Yes"),"Pass","Fail")))</f>
        <v/>
      </c>
      <c r="J45" s="6"/>
    </row>
    <row r="46" customFormat="false" ht="15" hidden="false" customHeight="false" outlineLevel="0" collapsed="false">
      <c r="A46" s="5"/>
      <c r="B46" s="5"/>
      <c r="C46" s="6"/>
      <c r="D46" s="7"/>
      <c r="E46" s="5"/>
      <c r="F46" s="5"/>
      <c r="G46" s="5"/>
      <c r="H46" s="5"/>
      <c r="I46" s="8" t="str">
        <f aca="false">IF(A46="","",IF(OR(E46="",F46="",G46="",H46=""),"Pending",IF(AND(E46="Good",F46="Yes",G46="Yes",H46="Yes"),"Pass","Fail")))</f>
        <v/>
      </c>
      <c r="J46" s="6"/>
    </row>
    <row r="47" customFormat="false" ht="15" hidden="false" customHeight="false" outlineLevel="0" collapsed="false">
      <c r="A47" s="5"/>
      <c r="B47" s="5"/>
      <c r="C47" s="6"/>
      <c r="D47" s="7"/>
      <c r="E47" s="5"/>
      <c r="F47" s="5"/>
      <c r="G47" s="5"/>
      <c r="H47" s="5"/>
      <c r="I47" s="8" t="str">
        <f aca="false">IF(A47="","",IF(OR(E47="",F47="",G47="",H47=""),"Pending",IF(AND(E47="Good",F47="Yes",G47="Yes",H47="Yes"),"Pass","Fail")))</f>
        <v/>
      </c>
      <c r="J47" s="6"/>
    </row>
    <row r="48" customFormat="false" ht="15" hidden="false" customHeight="false" outlineLevel="0" collapsed="false">
      <c r="A48" s="5"/>
      <c r="B48" s="5"/>
      <c r="C48" s="6"/>
      <c r="D48" s="7"/>
      <c r="E48" s="5"/>
      <c r="F48" s="5"/>
      <c r="G48" s="5"/>
      <c r="H48" s="5"/>
      <c r="I48" s="8" t="str">
        <f aca="false">IF(A48="","",IF(OR(E48="",F48="",G48="",H48=""),"Pending",IF(AND(E48="Good",F48="Yes",G48="Yes",H48="Yes"),"Pass","Fail")))</f>
        <v/>
      </c>
      <c r="J48" s="6"/>
    </row>
    <row r="49" customFormat="false" ht="15" hidden="false" customHeight="false" outlineLevel="0" collapsed="false">
      <c r="A49" s="5"/>
      <c r="B49" s="5"/>
      <c r="C49" s="6"/>
      <c r="D49" s="7"/>
      <c r="E49" s="5"/>
      <c r="F49" s="5"/>
      <c r="G49" s="5"/>
      <c r="H49" s="5"/>
      <c r="I49" s="8" t="str">
        <f aca="false">IF(A49="","",IF(OR(E49="",F49="",G49="",H49=""),"Pending",IF(AND(E49="Good",F49="Yes",G49="Yes",H49="Yes"),"Pass","Fail")))</f>
        <v/>
      </c>
      <c r="J49" s="6"/>
    </row>
    <row r="50" customFormat="false" ht="15" hidden="false" customHeight="false" outlineLevel="0" collapsed="false">
      <c r="A50" s="5"/>
      <c r="B50" s="5"/>
      <c r="C50" s="6"/>
      <c r="D50" s="7"/>
      <c r="E50" s="5"/>
      <c r="F50" s="5"/>
      <c r="G50" s="5"/>
      <c r="H50" s="5"/>
      <c r="I50" s="8" t="str">
        <f aca="false">IF(A50="","",IF(OR(E50="",F50="",G50="",H50=""),"Pending",IF(AND(E50="Good",F50="Yes",G50="Yes",H50="Yes"),"Pass","Fail")))</f>
        <v/>
      </c>
      <c r="J50" s="6"/>
    </row>
    <row r="51" customFormat="false" ht="15" hidden="false" customHeight="false" outlineLevel="0" collapsed="false">
      <c r="A51" s="5"/>
      <c r="B51" s="5"/>
      <c r="C51" s="6"/>
      <c r="D51" s="7"/>
      <c r="E51" s="5"/>
      <c r="F51" s="5"/>
      <c r="G51" s="5"/>
      <c r="H51" s="5"/>
      <c r="I51" s="8" t="str">
        <f aca="false">IF(A51="","",IF(OR(E51="",F51="",G51="",H51=""),"Pending",IF(AND(E51="Good",F51="Yes",G51="Yes",H51="Yes"),"Pass","Fail")))</f>
        <v/>
      </c>
      <c r="J51" s="6"/>
    </row>
    <row r="52" customFormat="false" ht="15" hidden="false" customHeight="false" outlineLevel="0" collapsed="false">
      <c r="A52" s="5"/>
      <c r="B52" s="5"/>
      <c r="C52" s="6"/>
      <c r="D52" s="7"/>
      <c r="E52" s="5"/>
      <c r="F52" s="5"/>
      <c r="G52" s="5"/>
      <c r="H52" s="5"/>
      <c r="I52" s="8" t="str">
        <f aca="false">IF(A52="","",IF(OR(E52="",F52="",G52="",H52=""),"Pending",IF(AND(E52="Good",F52="Yes",G52="Yes",H52="Yes"),"Pass","Fail")))</f>
        <v/>
      </c>
      <c r="J52" s="6"/>
    </row>
    <row r="53" customFormat="false" ht="15" hidden="false" customHeight="false" outlineLevel="0" collapsed="false">
      <c r="A53" s="5"/>
      <c r="B53" s="5"/>
      <c r="C53" s="6"/>
      <c r="D53" s="7"/>
      <c r="E53" s="5"/>
      <c r="F53" s="5"/>
      <c r="G53" s="5"/>
      <c r="H53" s="5"/>
      <c r="I53" s="8" t="str">
        <f aca="false">IF(A53="","",IF(OR(E53="",F53="",G53="",H53=""),"Pending",IF(AND(E53="Good",F53="Yes",G53="Yes",H53="Yes"),"Pass","Fail")))</f>
        <v/>
      </c>
      <c r="J53" s="6"/>
    </row>
    <row r="54" customFormat="false" ht="15" hidden="false" customHeight="false" outlineLevel="0" collapsed="false">
      <c r="A54" s="5"/>
      <c r="B54" s="5"/>
      <c r="C54" s="6"/>
      <c r="D54" s="7"/>
      <c r="E54" s="5"/>
      <c r="F54" s="5"/>
      <c r="G54" s="5"/>
      <c r="H54" s="5"/>
      <c r="I54" s="8" t="str">
        <f aca="false">IF(A54="","",IF(OR(E54="",F54="",G54="",H54=""),"Pending",IF(AND(E54="Good",F54="Yes",G54="Yes",H54="Yes"),"Pass","Fail")))</f>
        <v/>
      </c>
      <c r="J54" s="6"/>
    </row>
    <row r="55" customFormat="false" ht="15" hidden="false" customHeight="false" outlineLevel="0" collapsed="false">
      <c r="A55" s="5"/>
      <c r="B55" s="5"/>
      <c r="C55" s="6"/>
      <c r="D55" s="7"/>
      <c r="E55" s="5"/>
      <c r="F55" s="5"/>
      <c r="G55" s="5"/>
      <c r="H55" s="5"/>
      <c r="I55" s="8" t="str">
        <f aca="false">IF(A55="","",IF(OR(E55="",F55="",G55="",H55=""),"Pending",IF(AND(E55="Good",F55="Yes",G55="Yes",H55="Yes"),"Pass","Fail")))</f>
        <v/>
      </c>
      <c r="J55" s="6"/>
    </row>
    <row r="56" customFormat="false" ht="15" hidden="false" customHeight="false" outlineLevel="0" collapsed="false">
      <c r="A56" s="5"/>
      <c r="B56" s="5"/>
      <c r="C56" s="6"/>
      <c r="D56" s="7"/>
      <c r="E56" s="5"/>
      <c r="F56" s="5"/>
      <c r="G56" s="5"/>
      <c r="H56" s="5"/>
      <c r="I56" s="8" t="str">
        <f aca="false">IF(A56="","",IF(OR(E56="",F56="",G56="",H56=""),"Pending",IF(AND(E56="Good",F56="Yes",G56="Yes",H56="Yes"),"Pass","Fail")))</f>
        <v/>
      </c>
      <c r="J56" s="6"/>
    </row>
    <row r="57" customFormat="false" ht="15" hidden="false" customHeight="false" outlineLevel="0" collapsed="false">
      <c r="A57" s="5"/>
      <c r="B57" s="5"/>
      <c r="C57" s="6"/>
      <c r="D57" s="7"/>
      <c r="E57" s="5"/>
      <c r="F57" s="5"/>
      <c r="G57" s="5"/>
      <c r="H57" s="5"/>
      <c r="I57" s="8" t="str">
        <f aca="false">IF(A57="","",IF(OR(E57="",F57="",G57="",H57=""),"Pending",IF(AND(E57="Good",F57="Yes",G57="Yes",H57="Yes"),"Pass","Fail")))</f>
        <v/>
      </c>
      <c r="J57" s="6"/>
    </row>
    <row r="58" customFormat="false" ht="15" hidden="false" customHeight="false" outlineLevel="0" collapsed="false">
      <c r="A58" s="5"/>
      <c r="B58" s="5"/>
      <c r="C58" s="6"/>
      <c r="D58" s="7"/>
      <c r="E58" s="5"/>
      <c r="F58" s="5"/>
      <c r="G58" s="5"/>
      <c r="H58" s="5"/>
      <c r="I58" s="8" t="str">
        <f aca="false">IF(A58="","",IF(OR(E58="",F58="",G58="",H58=""),"Pending",IF(AND(E58="Good",F58="Yes",G58="Yes",H58="Yes"),"Pass","Fail")))</f>
        <v/>
      </c>
      <c r="J58" s="6"/>
    </row>
    <row r="59" customFormat="false" ht="15" hidden="false" customHeight="false" outlineLevel="0" collapsed="false">
      <c r="A59" s="5"/>
      <c r="B59" s="5"/>
      <c r="C59" s="6"/>
      <c r="D59" s="7"/>
      <c r="E59" s="5"/>
      <c r="F59" s="5"/>
      <c r="G59" s="5"/>
      <c r="H59" s="5"/>
      <c r="I59" s="8" t="str">
        <f aca="false">IF(A59="","",IF(OR(E59="",F59="",G59="",H59=""),"Pending",IF(AND(E59="Good",F59="Yes",G59="Yes",H59="Yes"),"Pass","Fail")))</f>
        <v/>
      </c>
      <c r="J59" s="6"/>
    </row>
    <row r="60" customFormat="false" ht="15" hidden="false" customHeight="false" outlineLevel="0" collapsed="false">
      <c r="A60" s="5"/>
      <c r="B60" s="5"/>
      <c r="C60" s="6"/>
      <c r="D60" s="7"/>
      <c r="E60" s="5"/>
      <c r="F60" s="5"/>
      <c r="G60" s="5"/>
      <c r="H60" s="5"/>
      <c r="I60" s="8" t="str">
        <f aca="false">IF(A60="","",IF(OR(E60="",F60="",G60="",H60=""),"Pending",IF(AND(E60="Good",F60="Yes",G60="Yes",H60="Yes"),"Pass","Fail")))</f>
        <v/>
      </c>
      <c r="J60" s="6"/>
    </row>
    <row r="61" customFormat="false" ht="15" hidden="false" customHeight="false" outlineLevel="0" collapsed="false">
      <c r="A61" s="5"/>
      <c r="B61" s="5"/>
      <c r="C61" s="6"/>
      <c r="D61" s="7"/>
      <c r="E61" s="5"/>
      <c r="F61" s="5"/>
      <c r="G61" s="5"/>
      <c r="H61" s="5"/>
      <c r="I61" s="8" t="str">
        <f aca="false">IF(A61="","",IF(OR(E61="",F61="",G61="",H61=""),"Pending",IF(AND(E61="Good",F61="Yes",G61="Yes",H61="Yes"),"Pass","Fail")))</f>
        <v/>
      </c>
      <c r="J61" s="6"/>
    </row>
    <row r="62" customFormat="false" ht="15" hidden="false" customHeight="false" outlineLevel="0" collapsed="false">
      <c r="A62" s="5"/>
      <c r="B62" s="5"/>
      <c r="C62" s="6"/>
      <c r="D62" s="7"/>
      <c r="E62" s="5"/>
      <c r="F62" s="5"/>
      <c r="G62" s="5"/>
      <c r="H62" s="5"/>
      <c r="I62" s="8" t="str">
        <f aca="false">IF(A62="","",IF(OR(E62="",F62="",G62="",H62=""),"Pending",IF(AND(E62="Good",F62="Yes",G62="Yes",H62="Yes"),"Pass","Fail")))</f>
        <v/>
      </c>
      <c r="J62" s="6"/>
    </row>
    <row r="63" customFormat="false" ht="15" hidden="false" customHeight="false" outlineLevel="0" collapsed="false">
      <c r="A63" s="5"/>
      <c r="B63" s="5"/>
      <c r="C63" s="6"/>
      <c r="D63" s="7"/>
      <c r="E63" s="5"/>
      <c r="F63" s="5"/>
      <c r="G63" s="5"/>
      <c r="H63" s="5"/>
      <c r="I63" s="8" t="str">
        <f aca="false">IF(A63="","",IF(OR(E63="",F63="",G63="",H63=""),"Pending",IF(AND(E63="Good",F63="Yes",G63="Yes",H63="Yes"),"Pass","Fail")))</f>
        <v/>
      </c>
      <c r="J63" s="6"/>
    </row>
    <row r="64" customFormat="false" ht="15" hidden="false" customHeight="false" outlineLevel="0" collapsed="false">
      <c r="A64" s="5"/>
      <c r="B64" s="5"/>
      <c r="C64" s="6"/>
      <c r="D64" s="7"/>
      <c r="E64" s="5"/>
      <c r="F64" s="5"/>
      <c r="G64" s="5"/>
      <c r="H64" s="5"/>
      <c r="I64" s="8" t="str">
        <f aca="false">IF(A64="","",IF(OR(E64="",F64="",G64="",H64=""),"Pending",IF(AND(E64="Good",F64="Yes",G64="Yes",H64="Yes"),"Pass","Fail")))</f>
        <v/>
      </c>
      <c r="J64" s="6"/>
    </row>
    <row r="65" customFormat="false" ht="15" hidden="false" customHeight="false" outlineLevel="0" collapsed="false">
      <c r="A65" s="5"/>
      <c r="B65" s="5"/>
      <c r="C65" s="6"/>
      <c r="D65" s="7"/>
      <c r="E65" s="5"/>
      <c r="F65" s="5"/>
      <c r="G65" s="5"/>
      <c r="H65" s="5"/>
      <c r="I65" s="8" t="str">
        <f aca="false">IF(A65="","",IF(OR(E65="",F65="",G65="",H65=""),"Pending",IF(AND(E65="Good",F65="Yes",G65="Yes",H65="Yes"),"Pass","Fail")))</f>
        <v/>
      </c>
      <c r="J65" s="6"/>
    </row>
    <row r="66" customFormat="false" ht="15" hidden="false" customHeight="false" outlineLevel="0" collapsed="false">
      <c r="A66" s="5"/>
      <c r="B66" s="5"/>
      <c r="C66" s="6"/>
      <c r="D66" s="7"/>
      <c r="E66" s="5"/>
      <c r="F66" s="5"/>
      <c r="G66" s="5"/>
      <c r="H66" s="5"/>
      <c r="I66" s="8" t="str">
        <f aca="false">IF(A66="","",IF(OR(E66="",F66="",G66="",H66=""),"Pending",IF(AND(E66="Good",F66="Yes",G66="Yes",H66="Yes"),"Pass","Fail")))</f>
        <v/>
      </c>
      <c r="J66" s="6"/>
    </row>
    <row r="67" customFormat="false" ht="15" hidden="false" customHeight="false" outlineLevel="0" collapsed="false">
      <c r="A67" s="5"/>
      <c r="B67" s="5"/>
      <c r="C67" s="6"/>
      <c r="D67" s="7"/>
      <c r="E67" s="5"/>
      <c r="F67" s="5"/>
      <c r="G67" s="5"/>
      <c r="H67" s="5"/>
      <c r="I67" s="8" t="str">
        <f aca="false">IF(A67="","",IF(OR(E67="",F67="",G67="",H67=""),"Pending",IF(AND(E67="Good",F67="Yes",G67="Yes",H67="Yes"),"Pass","Fail")))</f>
        <v/>
      </c>
      <c r="J67" s="6"/>
    </row>
    <row r="68" customFormat="false" ht="15" hidden="false" customHeight="false" outlineLevel="0" collapsed="false">
      <c r="A68" s="5"/>
      <c r="B68" s="5"/>
      <c r="C68" s="6"/>
      <c r="D68" s="7"/>
      <c r="E68" s="5"/>
      <c r="F68" s="5"/>
      <c r="G68" s="5"/>
      <c r="H68" s="5"/>
      <c r="I68" s="8" t="str">
        <f aca="false">IF(A68="","",IF(OR(E68="",F68="",G68="",H68=""),"Pending",IF(AND(E68="Good",F68="Yes",G68="Yes",H68="Yes"),"Pass","Fail")))</f>
        <v/>
      </c>
      <c r="J68" s="6"/>
    </row>
    <row r="69" customFormat="false" ht="15" hidden="false" customHeight="false" outlineLevel="0" collapsed="false">
      <c r="A69" s="5"/>
      <c r="B69" s="5"/>
      <c r="C69" s="6"/>
      <c r="D69" s="7"/>
      <c r="E69" s="5"/>
      <c r="F69" s="5"/>
      <c r="G69" s="5"/>
      <c r="H69" s="5"/>
      <c r="I69" s="8" t="str">
        <f aca="false">IF(A69="","",IF(OR(E69="",F69="",G69="",H69=""),"Pending",IF(AND(E69="Good",F69="Yes",G69="Yes",H69="Yes"),"Pass","Fail")))</f>
        <v/>
      </c>
      <c r="J69" s="6"/>
    </row>
    <row r="70" customFormat="false" ht="15" hidden="false" customHeight="false" outlineLevel="0" collapsed="false">
      <c r="A70" s="5"/>
      <c r="B70" s="5"/>
      <c r="C70" s="6"/>
      <c r="D70" s="7"/>
      <c r="E70" s="5"/>
      <c r="F70" s="5"/>
      <c r="G70" s="5"/>
      <c r="H70" s="5"/>
      <c r="I70" s="8" t="str">
        <f aca="false">IF(A70="","",IF(OR(E70="",F70="",G70="",H70=""),"Pending",IF(AND(E70="Good",F70="Yes",G70="Yes",H70="Yes"),"Pass","Fail")))</f>
        <v/>
      </c>
      <c r="J70" s="6"/>
    </row>
    <row r="71" customFormat="false" ht="15" hidden="false" customHeight="false" outlineLevel="0" collapsed="false">
      <c r="A71" s="5"/>
      <c r="B71" s="5"/>
      <c r="C71" s="6"/>
      <c r="D71" s="7"/>
      <c r="E71" s="5"/>
      <c r="F71" s="5"/>
      <c r="G71" s="5"/>
      <c r="H71" s="5"/>
      <c r="I71" s="8" t="str">
        <f aca="false">IF(A71="","",IF(OR(E71="",F71="",G71="",H71=""),"Pending",IF(AND(E71="Good",F71="Yes",G71="Yes",H71="Yes"),"Pass","Fail")))</f>
        <v/>
      </c>
      <c r="J71" s="6"/>
    </row>
    <row r="72" customFormat="false" ht="15" hidden="false" customHeight="false" outlineLevel="0" collapsed="false">
      <c r="A72" s="5"/>
      <c r="B72" s="5"/>
      <c r="C72" s="6"/>
      <c r="D72" s="7"/>
      <c r="E72" s="5"/>
      <c r="F72" s="5"/>
      <c r="G72" s="5"/>
      <c r="H72" s="5"/>
      <c r="I72" s="8" t="str">
        <f aca="false">IF(A72="","",IF(OR(E72="",F72="",G72="",H72=""),"Pending",IF(AND(E72="Good",F72="Yes",G72="Yes",H72="Yes"),"Pass","Fail")))</f>
        <v/>
      </c>
      <c r="J72" s="6"/>
    </row>
    <row r="73" customFormat="false" ht="15" hidden="false" customHeight="false" outlineLevel="0" collapsed="false">
      <c r="A73" s="5"/>
      <c r="B73" s="5"/>
      <c r="C73" s="6"/>
      <c r="D73" s="7"/>
      <c r="E73" s="5"/>
      <c r="F73" s="5"/>
      <c r="G73" s="5"/>
      <c r="H73" s="5"/>
      <c r="I73" s="8" t="str">
        <f aca="false">IF(A73="","",IF(OR(E73="",F73="",G73="",H73=""),"Pending",IF(AND(E73="Good",F73="Yes",G73="Yes",H73="Yes"),"Pass","Fail")))</f>
        <v/>
      </c>
      <c r="J73" s="6"/>
    </row>
    <row r="74" customFormat="false" ht="15" hidden="false" customHeight="false" outlineLevel="0" collapsed="false">
      <c r="A74" s="5"/>
      <c r="B74" s="5"/>
      <c r="C74" s="6"/>
      <c r="D74" s="7"/>
      <c r="E74" s="5"/>
      <c r="F74" s="5"/>
      <c r="G74" s="5"/>
      <c r="H74" s="5"/>
      <c r="I74" s="8" t="str">
        <f aca="false">IF(A74="","",IF(OR(E74="",F74="",G74="",H74=""),"Pending",IF(AND(E74="Good",F74="Yes",G74="Yes",H74="Yes"),"Pass","Fail")))</f>
        <v/>
      </c>
      <c r="J74" s="6"/>
    </row>
    <row r="75" customFormat="false" ht="15" hidden="false" customHeight="false" outlineLevel="0" collapsed="false">
      <c r="A75" s="5"/>
      <c r="B75" s="5"/>
      <c r="C75" s="6"/>
      <c r="D75" s="7"/>
      <c r="E75" s="5"/>
      <c r="F75" s="5"/>
      <c r="G75" s="5"/>
      <c r="H75" s="5"/>
      <c r="I75" s="8" t="str">
        <f aca="false">IF(A75="","",IF(OR(E75="",F75="",G75="",H75=""),"Pending",IF(AND(E75="Good",F75="Yes",G75="Yes",H75="Yes"),"Pass","Fail")))</f>
        <v/>
      </c>
      <c r="J75" s="6"/>
    </row>
    <row r="76" customFormat="false" ht="15" hidden="false" customHeight="false" outlineLevel="0" collapsed="false">
      <c r="A76" s="5"/>
      <c r="B76" s="5"/>
      <c r="C76" s="6"/>
      <c r="D76" s="7"/>
      <c r="E76" s="5"/>
      <c r="F76" s="5"/>
      <c r="G76" s="5"/>
      <c r="H76" s="5"/>
      <c r="I76" s="8" t="str">
        <f aca="false">IF(A76="","",IF(OR(E76="",F76="",G76="",H76=""),"Pending",IF(AND(E76="Good",F76="Yes",G76="Yes",H76="Yes"),"Pass","Fail")))</f>
        <v/>
      </c>
      <c r="J76" s="6"/>
    </row>
    <row r="77" customFormat="false" ht="15" hidden="false" customHeight="false" outlineLevel="0" collapsed="false">
      <c r="A77" s="5"/>
      <c r="B77" s="5"/>
      <c r="C77" s="6"/>
      <c r="D77" s="7"/>
      <c r="E77" s="5"/>
      <c r="F77" s="5"/>
      <c r="G77" s="5"/>
      <c r="H77" s="5"/>
      <c r="I77" s="8" t="str">
        <f aca="false">IF(A77="","",IF(OR(E77="",F77="",G77="",H77=""),"Pending",IF(AND(E77="Good",F77="Yes",G77="Yes",H77="Yes"),"Pass","Fail")))</f>
        <v/>
      </c>
      <c r="J77" s="6"/>
    </row>
    <row r="78" customFormat="false" ht="15" hidden="false" customHeight="false" outlineLevel="0" collapsed="false">
      <c r="A78" s="5"/>
      <c r="B78" s="5"/>
      <c r="C78" s="6"/>
      <c r="D78" s="7"/>
      <c r="E78" s="5"/>
      <c r="F78" s="5"/>
      <c r="G78" s="5"/>
      <c r="H78" s="5"/>
      <c r="I78" s="8" t="str">
        <f aca="false">IF(A78="","",IF(OR(E78="",F78="",G78="",H78=""),"Pending",IF(AND(E78="Good",F78="Yes",G78="Yes",H78="Yes"),"Pass","Fail")))</f>
        <v/>
      </c>
      <c r="J78" s="6"/>
    </row>
    <row r="79" customFormat="false" ht="15" hidden="false" customHeight="false" outlineLevel="0" collapsed="false">
      <c r="A79" s="5"/>
      <c r="B79" s="5"/>
      <c r="C79" s="6"/>
      <c r="D79" s="7"/>
      <c r="E79" s="5"/>
      <c r="F79" s="5"/>
      <c r="G79" s="5"/>
      <c r="H79" s="5"/>
      <c r="I79" s="8" t="str">
        <f aca="false">IF(A79="","",IF(OR(E79="",F79="",G79="",H79=""),"Pending",IF(AND(E79="Good",F79="Yes",G79="Yes",H79="Yes"),"Pass","Fail")))</f>
        <v/>
      </c>
      <c r="J79" s="6"/>
    </row>
    <row r="80" customFormat="false" ht="15" hidden="false" customHeight="false" outlineLevel="0" collapsed="false">
      <c r="A80" s="5"/>
      <c r="B80" s="5"/>
      <c r="C80" s="6"/>
      <c r="D80" s="7"/>
      <c r="E80" s="5"/>
      <c r="F80" s="5"/>
      <c r="G80" s="5"/>
      <c r="H80" s="5"/>
      <c r="I80" s="8" t="str">
        <f aca="false">IF(A80="","",IF(OR(E80="",F80="",G80="",H80=""),"Pending",IF(AND(E80="Good",F80="Yes",G80="Yes",H80="Yes"),"Pass","Fail")))</f>
        <v/>
      </c>
      <c r="J80" s="6"/>
    </row>
    <row r="81" customFormat="false" ht="15" hidden="false" customHeight="false" outlineLevel="0" collapsed="false">
      <c r="A81" s="5"/>
      <c r="B81" s="5"/>
      <c r="C81" s="6"/>
      <c r="D81" s="7"/>
      <c r="E81" s="5"/>
      <c r="F81" s="5"/>
      <c r="G81" s="5"/>
      <c r="H81" s="5"/>
      <c r="I81" s="8" t="str">
        <f aca="false">IF(A81="","",IF(OR(E81="",F81="",G81="",H81=""),"Pending",IF(AND(E81="Good",F81="Yes",G81="Yes",H81="Yes"),"Pass","Fail")))</f>
        <v/>
      </c>
      <c r="J81" s="6"/>
    </row>
    <row r="82" customFormat="false" ht="15" hidden="false" customHeight="false" outlineLevel="0" collapsed="false">
      <c r="A82" s="5"/>
      <c r="B82" s="5"/>
      <c r="C82" s="6"/>
      <c r="D82" s="7"/>
      <c r="E82" s="5"/>
      <c r="F82" s="5"/>
      <c r="G82" s="5"/>
      <c r="H82" s="5"/>
      <c r="I82" s="8" t="str">
        <f aca="false">IF(A82="","",IF(OR(E82="",F82="",G82="",H82=""),"Pending",IF(AND(E82="Good",F82="Yes",G82="Yes",H82="Yes"),"Pass","Fail")))</f>
        <v/>
      </c>
      <c r="J82" s="6"/>
    </row>
    <row r="83" customFormat="false" ht="15" hidden="false" customHeight="false" outlineLevel="0" collapsed="false">
      <c r="A83" s="5"/>
      <c r="B83" s="5"/>
      <c r="C83" s="6"/>
      <c r="D83" s="7"/>
      <c r="E83" s="5"/>
      <c r="F83" s="5"/>
      <c r="G83" s="5"/>
      <c r="H83" s="5"/>
      <c r="I83" s="8" t="str">
        <f aca="false">IF(A83="","",IF(OR(E83="",F83="",G83="",H83=""),"Pending",IF(AND(E83="Good",F83="Yes",G83="Yes",H83="Yes"),"Pass","Fail")))</f>
        <v/>
      </c>
      <c r="J83" s="6"/>
    </row>
    <row r="84" customFormat="false" ht="15" hidden="false" customHeight="false" outlineLevel="0" collapsed="false">
      <c r="A84" s="5"/>
      <c r="B84" s="5"/>
      <c r="C84" s="6"/>
      <c r="D84" s="7"/>
      <c r="E84" s="5"/>
      <c r="F84" s="5"/>
      <c r="G84" s="5"/>
      <c r="H84" s="5"/>
      <c r="I84" s="8" t="str">
        <f aca="false">IF(A84="","",IF(OR(E84="",F84="",G84="",H84=""),"Pending",IF(AND(E84="Good",F84="Yes",G84="Yes",H84="Yes"),"Pass","Fail")))</f>
        <v/>
      </c>
      <c r="J84" s="6"/>
    </row>
    <row r="85" customFormat="false" ht="15" hidden="false" customHeight="false" outlineLevel="0" collapsed="false">
      <c r="A85" s="5"/>
      <c r="B85" s="5"/>
      <c r="C85" s="6"/>
      <c r="D85" s="7"/>
      <c r="E85" s="5"/>
      <c r="F85" s="5"/>
      <c r="G85" s="5"/>
      <c r="H85" s="5"/>
      <c r="I85" s="8" t="str">
        <f aca="false">IF(A85="","",IF(OR(E85="",F85="",G85="",H85=""),"Pending",IF(AND(E85="Good",F85="Yes",G85="Yes",H85="Yes"),"Pass","Fail")))</f>
        <v/>
      </c>
      <c r="J85" s="6"/>
    </row>
    <row r="86" customFormat="false" ht="15" hidden="false" customHeight="false" outlineLevel="0" collapsed="false">
      <c r="A86" s="5"/>
      <c r="B86" s="5"/>
      <c r="C86" s="6"/>
      <c r="D86" s="7"/>
      <c r="E86" s="5"/>
      <c r="F86" s="5"/>
      <c r="G86" s="5"/>
      <c r="H86" s="5"/>
      <c r="I86" s="8" t="str">
        <f aca="false">IF(A86="","",IF(OR(E86="",F86="",G86="",H86=""),"Pending",IF(AND(E86="Good",F86="Yes",G86="Yes",H86="Yes"),"Pass","Fail")))</f>
        <v/>
      </c>
      <c r="J86" s="6"/>
    </row>
    <row r="87" customFormat="false" ht="15" hidden="false" customHeight="false" outlineLevel="0" collapsed="false">
      <c r="A87" s="5"/>
      <c r="B87" s="5"/>
      <c r="C87" s="6"/>
      <c r="D87" s="7"/>
      <c r="E87" s="5"/>
      <c r="F87" s="5"/>
      <c r="G87" s="5"/>
      <c r="H87" s="5"/>
      <c r="I87" s="8" t="str">
        <f aca="false">IF(A87="","",IF(OR(E87="",F87="",G87="",H87=""),"Pending",IF(AND(E87="Good",F87="Yes",G87="Yes",H87="Yes"),"Pass","Fail")))</f>
        <v/>
      </c>
      <c r="J87" s="6"/>
    </row>
    <row r="88" customFormat="false" ht="15" hidden="false" customHeight="false" outlineLevel="0" collapsed="false">
      <c r="A88" s="5"/>
      <c r="B88" s="5"/>
      <c r="C88" s="6"/>
      <c r="D88" s="7"/>
      <c r="E88" s="5"/>
      <c r="F88" s="5"/>
      <c r="G88" s="5"/>
      <c r="H88" s="5"/>
      <c r="I88" s="8" t="str">
        <f aca="false">IF(A88="","",IF(OR(E88="",F88="",G88="",H88=""),"Pending",IF(AND(E88="Good",F88="Yes",G88="Yes",H88="Yes"),"Pass","Fail")))</f>
        <v/>
      </c>
      <c r="J88" s="6"/>
    </row>
    <row r="89" customFormat="false" ht="15" hidden="false" customHeight="false" outlineLevel="0" collapsed="false">
      <c r="A89" s="5"/>
      <c r="B89" s="5"/>
      <c r="C89" s="6"/>
      <c r="D89" s="7"/>
      <c r="E89" s="5"/>
      <c r="F89" s="5"/>
      <c r="G89" s="5"/>
      <c r="H89" s="5"/>
      <c r="I89" s="8" t="str">
        <f aca="false">IF(A89="","",IF(OR(E89="",F89="",G89="",H89=""),"Pending",IF(AND(E89="Good",F89="Yes",G89="Yes",H89="Yes"),"Pass","Fail")))</f>
        <v/>
      </c>
      <c r="J89" s="6"/>
    </row>
    <row r="90" customFormat="false" ht="15" hidden="false" customHeight="false" outlineLevel="0" collapsed="false">
      <c r="A90" s="5"/>
      <c r="B90" s="5"/>
      <c r="C90" s="6"/>
      <c r="D90" s="7"/>
      <c r="E90" s="5"/>
      <c r="F90" s="5"/>
      <c r="G90" s="5"/>
      <c r="H90" s="5"/>
      <c r="I90" s="8" t="str">
        <f aca="false">IF(A90="","",IF(OR(E90="",F90="",G90="",H90=""),"Pending",IF(AND(E90="Good",F90="Yes",G90="Yes",H90="Yes"),"Pass","Fail")))</f>
        <v/>
      </c>
      <c r="J90" s="6"/>
    </row>
    <row r="91" customFormat="false" ht="15" hidden="false" customHeight="false" outlineLevel="0" collapsed="false">
      <c r="A91" s="5"/>
      <c r="B91" s="5"/>
      <c r="C91" s="6"/>
      <c r="D91" s="7"/>
      <c r="E91" s="5"/>
      <c r="F91" s="5"/>
      <c r="G91" s="5"/>
      <c r="H91" s="5"/>
      <c r="I91" s="8" t="str">
        <f aca="false">IF(A91="","",IF(OR(E91="",F91="",G91="",H91=""),"Pending",IF(AND(E91="Good",F91="Yes",G91="Yes",H91="Yes"),"Pass","Fail")))</f>
        <v/>
      </c>
      <c r="J91" s="6"/>
    </row>
    <row r="92" customFormat="false" ht="15" hidden="false" customHeight="false" outlineLevel="0" collapsed="false">
      <c r="A92" s="5"/>
      <c r="B92" s="5"/>
      <c r="C92" s="6"/>
      <c r="D92" s="7"/>
      <c r="E92" s="5"/>
      <c r="F92" s="5"/>
      <c r="G92" s="5"/>
      <c r="H92" s="5"/>
      <c r="I92" s="8" t="str">
        <f aca="false">IF(A92="","",IF(OR(E92="",F92="",G92="",H92=""),"Pending",IF(AND(E92="Good",F92="Yes",G92="Yes",H92="Yes"),"Pass","Fail")))</f>
        <v/>
      </c>
      <c r="J92" s="6"/>
    </row>
    <row r="93" customFormat="false" ht="15" hidden="false" customHeight="false" outlineLevel="0" collapsed="false">
      <c r="A93" s="5"/>
      <c r="B93" s="5"/>
      <c r="C93" s="6"/>
      <c r="D93" s="7"/>
      <c r="E93" s="5"/>
      <c r="F93" s="5"/>
      <c r="G93" s="5"/>
      <c r="H93" s="5"/>
      <c r="I93" s="8" t="str">
        <f aca="false">IF(A93="","",IF(OR(E93="",F93="",G93="",H93=""),"Pending",IF(AND(E93="Good",F93="Yes",G93="Yes",H93="Yes"),"Pass","Fail")))</f>
        <v/>
      </c>
      <c r="J93" s="6"/>
    </row>
    <row r="94" customFormat="false" ht="15" hidden="false" customHeight="false" outlineLevel="0" collapsed="false">
      <c r="A94" s="5"/>
      <c r="B94" s="5"/>
      <c r="C94" s="6"/>
      <c r="D94" s="7"/>
      <c r="E94" s="5"/>
      <c r="F94" s="5"/>
      <c r="G94" s="5"/>
      <c r="H94" s="5"/>
      <c r="I94" s="8" t="str">
        <f aca="false">IF(A94="","",IF(OR(E94="",F94="",G94="",H94=""),"Pending",IF(AND(E94="Good",F94="Yes",G94="Yes",H94="Yes"),"Pass","Fail")))</f>
        <v/>
      </c>
      <c r="J94" s="6"/>
    </row>
    <row r="95" customFormat="false" ht="15" hidden="false" customHeight="false" outlineLevel="0" collapsed="false">
      <c r="A95" s="5"/>
      <c r="B95" s="5"/>
      <c r="C95" s="6"/>
      <c r="D95" s="7"/>
      <c r="E95" s="5"/>
      <c r="F95" s="5"/>
      <c r="G95" s="5"/>
      <c r="H95" s="5"/>
      <c r="I95" s="8" t="str">
        <f aca="false">IF(A95="","",IF(OR(E95="",F95="",G95="",H95=""),"Pending",IF(AND(E95="Good",F95="Yes",G95="Yes",H95="Yes"),"Pass","Fail")))</f>
        <v/>
      </c>
      <c r="J95" s="6"/>
    </row>
    <row r="96" customFormat="false" ht="15" hidden="false" customHeight="false" outlineLevel="0" collapsed="false">
      <c r="A96" s="5"/>
      <c r="B96" s="5"/>
      <c r="C96" s="6"/>
      <c r="D96" s="7"/>
      <c r="E96" s="5"/>
      <c r="F96" s="5"/>
      <c r="G96" s="5"/>
      <c r="H96" s="5"/>
      <c r="I96" s="8" t="str">
        <f aca="false">IF(A96="","",IF(OR(E96="",F96="",G96="",H96=""),"Pending",IF(AND(E96="Good",F96="Yes",G96="Yes",H96="Yes"),"Pass","Fail")))</f>
        <v/>
      </c>
      <c r="J96" s="6"/>
    </row>
    <row r="97" customFormat="false" ht="15" hidden="false" customHeight="false" outlineLevel="0" collapsed="false">
      <c r="A97" s="5"/>
      <c r="B97" s="5"/>
      <c r="C97" s="6"/>
      <c r="D97" s="7"/>
      <c r="E97" s="5"/>
      <c r="F97" s="5"/>
      <c r="G97" s="5"/>
      <c r="H97" s="5"/>
      <c r="I97" s="8" t="str">
        <f aca="false">IF(A97="","",IF(OR(E97="",F97="",G97="",H97=""),"Pending",IF(AND(E97="Good",F97="Yes",G97="Yes",H97="Yes"),"Pass","Fail")))</f>
        <v/>
      </c>
      <c r="J97" s="6"/>
    </row>
    <row r="98" customFormat="false" ht="15" hidden="false" customHeight="false" outlineLevel="0" collapsed="false">
      <c r="A98" s="5"/>
      <c r="B98" s="5"/>
      <c r="C98" s="6"/>
      <c r="D98" s="7"/>
      <c r="E98" s="5"/>
      <c r="F98" s="5"/>
      <c r="G98" s="5"/>
      <c r="H98" s="5"/>
      <c r="I98" s="8" t="str">
        <f aca="false">IF(A98="","",IF(OR(E98="",F98="",G98="",H98=""),"Pending",IF(AND(E98="Good",F98="Yes",G98="Yes",H98="Yes"),"Pass","Fail")))</f>
        <v/>
      </c>
      <c r="J98" s="6"/>
    </row>
    <row r="99" customFormat="false" ht="15" hidden="false" customHeight="false" outlineLevel="0" collapsed="false">
      <c r="A99" s="5"/>
      <c r="B99" s="5"/>
      <c r="C99" s="6"/>
      <c r="D99" s="7"/>
      <c r="E99" s="5"/>
      <c r="F99" s="5"/>
      <c r="G99" s="5"/>
      <c r="H99" s="5"/>
      <c r="I99" s="8" t="str">
        <f aca="false">IF(A99="","",IF(OR(E99="",F99="",G99="",H99=""),"Pending",IF(AND(E99="Good",F99="Yes",G99="Yes",H99="Yes"),"Pass","Fail")))</f>
        <v/>
      </c>
      <c r="J99" s="6"/>
    </row>
    <row r="100" customFormat="false" ht="15" hidden="false" customHeight="false" outlineLevel="0" collapsed="false">
      <c r="A100" s="5"/>
      <c r="B100" s="5"/>
      <c r="C100" s="6"/>
      <c r="D100" s="7"/>
      <c r="E100" s="5"/>
      <c r="F100" s="5"/>
      <c r="G100" s="5"/>
      <c r="H100" s="5"/>
      <c r="I100" s="8" t="str">
        <f aca="false">IF(A100="","",IF(OR(E100="",F100="",G100="",H100=""),"Pending",IF(AND(E100="Good",F100="Yes",G100="Yes",H100="Yes"),"Pass","Fail")))</f>
        <v/>
      </c>
      <c r="J100" s="6"/>
    </row>
    <row r="101" customFormat="false" ht="15" hidden="false" customHeight="false" outlineLevel="0" collapsed="false">
      <c r="A101" s="5"/>
      <c r="B101" s="5"/>
      <c r="C101" s="6"/>
      <c r="D101" s="7"/>
      <c r="E101" s="5"/>
      <c r="F101" s="5"/>
      <c r="G101" s="5"/>
      <c r="H101" s="5"/>
      <c r="I101" s="8" t="str">
        <f aca="false">IF(A101="","",IF(OR(E101="",F101="",G101="",H101=""),"Pending",IF(AND(E101="Good",F101="Yes",G101="Yes",H101="Yes"),"Pass","Fail")))</f>
        <v/>
      </c>
      <c r="J101" s="6"/>
    </row>
    <row r="102" customFormat="false" ht="15" hidden="false" customHeight="false" outlineLevel="0" collapsed="false">
      <c r="A102" s="5"/>
      <c r="B102" s="5"/>
      <c r="C102" s="6"/>
      <c r="D102" s="7"/>
      <c r="E102" s="5"/>
      <c r="F102" s="5"/>
      <c r="G102" s="5"/>
      <c r="H102" s="5"/>
      <c r="I102" s="8" t="str">
        <f aca="false">IF(A102="","",IF(OR(E102="",F102="",G102="",H102=""),"Pending",IF(AND(E102="Good",F102="Yes",G102="Yes",H102="Yes"),"Pass","Fail")))</f>
        <v/>
      </c>
      <c r="J102" s="6"/>
    </row>
    <row r="103" customFormat="false" ht="15" hidden="false" customHeight="false" outlineLevel="0" collapsed="false">
      <c r="A103" s="5"/>
      <c r="B103" s="5"/>
      <c r="C103" s="6"/>
      <c r="D103" s="7"/>
      <c r="E103" s="5"/>
      <c r="F103" s="5"/>
      <c r="G103" s="5"/>
      <c r="H103" s="5"/>
      <c r="I103" s="8" t="str">
        <f aca="false">IF(A103="","",IF(OR(E103="",F103="",G103="",H103=""),"Pending",IF(AND(E103="Good",F103="Yes",G103="Yes",H103="Yes"),"Pass","Fail")))</f>
        <v/>
      </c>
      <c r="J103" s="6"/>
    </row>
    <row r="104" customFormat="false" ht="15" hidden="false" customHeight="false" outlineLevel="0" collapsed="false">
      <c r="A104" s="5"/>
      <c r="B104" s="5"/>
      <c r="C104" s="6"/>
      <c r="D104" s="7"/>
      <c r="E104" s="5"/>
      <c r="F104" s="5"/>
      <c r="G104" s="5"/>
      <c r="H104" s="5"/>
      <c r="I104" s="8" t="str">
        <f aca="false">IF(A104="","",IF(OR(E104="",F104="",G104="",H104=""),"Pending",IF(AND(E104="Good",F104="Yes",G104="Yes",H104="Yes"),"Pass","Fail")))</f>
        <v/>
      </c>
      <c r="J104" s="6"/>
    </row>
    <row r="105" customFormat="false" ht="15" hidden="false" customHeight="false" outlineLevel="0" collapsed="false">
      <c r="A105" s="5"/>
      <c r="B105" s="5"/>
      <c r="C105" s="6"/>
      <c r="D105" s="7"/>
      <c r="E105" s="5"/>
      <c r="F105" s="5"/>
      <c r="G105" s="5"/>
      <c r="H105" s="5"/>
      <c r="I105" s="8" t="str">
        <f aca="false">IF(A105="","",IF(OR(E105="",F105="",G105="",H105=""),"Pending",IF(AND(E105="Good",F105="Yes",G105="Yes",H105="Yes"),"Pass","Fail")))</f>
        <v/>
      </c>
      <c r="J105" s="6"/>
    </row>
    <row r="106" customFormat="false" ht="15" hidden="false" customHeight="false" outlineLevel="0" collapsed="false">
      <c r="A106" s="5"/>
      <c r="B106" s="5"/>
      <c r="C106" s="6"/>
      <c r="D106" s="7"/>
      <c r="E106" s="5"/>
      <c r="F106" s="5"/>
      <c r="G106" s="5"/>
      <c r="H106" s="5"/>
      <c r="I106" s="8" t="str">
        <f aca="false">IF(A106="","",IF(OR(E106="",F106="",G106="",H106=""),"Pending",IF(AND(E106="Good",F106="Yes",G106="Yes",H106="Yes"),"Pass","Fail")))</f>
        <v/>
      </c>
      <c r="J106" s="6"/>
    </row>
    <row r="107" customFormat="false" ht="15" hidden="false" customHeight="false" outlineLevel="0" collapsed="false">
      <c r="A107" s="5"/>
      <c r="B107" s="5"/>
      <c r="C107" s="6"/>
      <c r="D107" s="7"/>
      <c r="E107" s="5"/>
      <c r="F107" s="5"/>
      <c r="G107" s="5"/>
      <c r="H107" s="5"/>
      <c r="I107" s="8" t="str">
        <f aca="false">IF(A107="","",IF(OR(E107="",F107="",G107="",H107=""),"Pending",IF(AND(E107="Good",F107="Yes",G107="Yes",H107="Yes"),"Pass","Fail")))</f>
        <v/>
      </c>
      <c r="J107" s="6"/>
    </row>
    <row r="108" customFormat="false" ht="15" hidden="false" customHeight="false" outlineLevel="0" collapsed="false">
      <c r="A108" s="5"/>
      <c r="B108" s="5"/>
      <c r="C108" s="6"/>
      <c r="D108" s="7"/>
      <c r="E108" s="5"/>
      <c r="F108" s="5"/>
      <c r="G108" s="5"/>
      <c r="H108" s="5"/>
      <c r="I108" s="8" t="str">
        <f aca="false">IF(A108="","",IF(OR(E108="",F108="",G108="",H108=""),"Pending",IF(AND(E108="Good",F108="Yes",G108="Yes",H108="Yes"),"Pass","Fail")))</f>
        <v/>
      </c>
      <c r="J108" s="6"/>
    </row>
    <row r="109" customFormat="false" ht="15" hidden="false" customHeight="false" outlineLevel="0" collapsed="false">
      <c r="A109" s="5"/>
      <c r="B109" s="5"/>
      <c r="C109" s="6"/>
      <c r="D109" s="7"/>
      <c r="E109" s="5"/>
      <c r="F109" s="5"/>
      <c r="G109" s="5"/>
      <c r="H109" s="5"/>
      <c r="I109" s="8" t="str">
        <f aca="false">IF(A109="","",IF(OR(E109="",F109="",G109="",H109=""),"Pending",IF(AND(E109="Good",F109="Yes",G109="Yes",H109="Yes"),"Pass","Fail")))</f>
        <v/>
      </c>
      <c r="J109" s="6"/>
    </row>
    <row r="110" customFormat="false" ht="15" hidden="false" customHeight="false" outlineLevel="0" collapsed="false">
      <c r="A110" s="5"/>
      <c r="B110" s="5"/>
      <c r="C110" s="6"/>
      <c r="D110" s="7"/>
      <c r="E110" s="5"/>
      <c r="F110" s="5"/>
      <c r="G110" s="5"/>
      <c r="H110" s="5"/>
      <c r="I110" s="8" t="str">
        <f aca="false">IF(A110="","",IF(OR(E110="",F110="",G110="",H110=""),"Pending",IF(AND(E110="Good",F110="Yes",G110="Yes",H110="Yes"),"Pass","Fail")))</f>
        <v/>
      </c>
      <c r="J110" s="6"/>
    </row>
    <row r="111" customFormat="false" ht="15" hidden="false" customHeight="false" outlineLevel="0" collapsed="false">
      <c r="A111" s="5"/>
      <c r="B111" s="5"/>
      <c r="C111" s="6"/>
      <c r="D111" s="7"/>
      <c r="E111" s="5"/>
      <c r="F111" s="5"/>
      <c r="G111" s="5"/>
      <c r="H111" s="5"/>
      <c r="I111" s="8" t="str">
        <f aca="false">IF(A111="","",IF(OR(E111="",F111="",G111="",H111=""),"Pending",IF(AND(E111="Good",F111="Yes",G111="Yes",H111="Yes"),"Pass","Fail")))</f>
        <v/>
      </c>
      <c r="J111" s="6"/>
    </row>
    <row r="112" customFormat="false" ht="15" hidden="false" customHeight="false" outlineLevel="0" collapsed="false">
      <c r="A112" s="5"/>
      <c r="B112" s="5"/>
      <c r="C112" s="6"/>
      <c r="D112" s="7"/>
      <c r="E112" s="5"/>
      <c r="F112" s="5"/>
      <c r="G112" s="5"/>
      <c r="H112" s="5"/>
      <c r="I112" s="8" t="str">
        <f aca="false">IF(A112="","",IF(OR(E112="",F112="",G112="",H112=""),"Pending",IF(AND(E112="Good",F112="Yes",G112="Yes",H112="Yes"),"Pass","Fail")))</f>
        <v/>
      </c>
      <c r="J112" s="6"/>
    </row>
    <row r="113" customFormat="false" ht="15" hidden="false" customHeight="false" outlineLevel="0" collapsed="false">
      <c r="A113" s="5"/>
      <c r="B113" s="5"/>
      <c r="C113" s="6"/>
      <c r="D113" s="7"/>
      <c r="E113" s="5"/>
      <c r="F113" s="5"/>
      <c r="G113" s="5"/>
      <c r="H113" s="5"/>
      <c r="I113" s="8" t="str">
        <f aca="false">IF(A113="","",IF(OR(E113="",F113="",G113="",H113=""),"Pending",IF(AND(E113="Good",F113="Yes",G113="Yes",H113="Yes"),"Pass","Fail")))</f>
        <v/>
      </c>
      <c r="J113" s="6"/>
    </row>
    <row r="114" customFormat="false" ht="15" hidden="false" customHeight="false" outlineLevel="0" collapsed="false">
      <c r="A114" s="5"/>
      <c r="B114" s="5"/>
      <c r="C114" s="6"/>
      <c r="D114" s="7"/>
      <c r="E114" s="5"/>
      <c r="F114" s="5"/>
      <c r="G114" s="5"/>
      <c r="H114" s="5"/>
      <c r="I114" s="8" t="str">
        <f aca="false">IF(A114="","",IF(OR(E114="",F114="",G114="",H114=""),"Pending",IF(AND(E114="Good",F114="Yes",G114="Yes",H114="Yes"),"Pass","Fail")))</f>
        <v/>
      </c>
      <c r="J114" s="6"/>
    </row>
    <row r="115" customFormat="false" ht="15" hidden="false" customHeight="false" outlineLevel="0" collapsed="false">
      <c r="A115" s="5"/>
      <c r="B115" s="5"/>
      <c r="C115" s="6"/>
      <c r="D115" s="7"/>
      <c r="E115" s="5"/>
      <c r="F115" s="5"/>
      <c r="G115" s="5"/>
      <c r="H115" s="5"/>
      <c r="I115" s="8" t="str">
        <f aca="false">IF(A115="","",IF(OR(E115="",F115="",G115="",H115=""),"Pending",IF(AND(E115="Good",F115="Yes",G115="Yes",H115="Yes"),"Pass","Fail")))</f>
        <v/>
      </c>
      <c r="J115" s="6"/>
    </row>
    <row r="116" customFormat="false" ht="15" hidden="false" customHeight="false" outlineLevel="0" collapsed="false">
      <c r="A116" s="5"/>
      <c r="B116" s="5"/>
      <c r="C116" s="6"/>
      <c r="D116" s="7"/>
      <c r="E116" s="5"/>
      <c r="F116" s="5"/>
      <c r="G116" s="5"/>
      <c r="H116" s="5"/>
      <c r="I116" s="8" t="str">
        <f aca="false">IF(A116="","",IF(OR(E116="",F116="",G116="",H116=""),"Pending",IF(AND(E116="Good",F116="Yes",G116="Yes",H116="Yes"),"Pass","Fail")))</f>
        <v/>
      </c>
      <c r="J116" s="6"/>
    </row>
    <row r="117" customFormat="false" ht="15" hidden="false" customHeight="false" outlineLevel="0" collapsed="false">
      <c r="A117" s="5"/>
      <c r="B117" s="5"/>
      <c r="C117" s="6"/>
      <c r="D117" s="7"/>
      <c r="E117" s="5"/>
      <c r="F117" s="5"/>
      <c r="G117" s="5"/>
      <c r="H117" s="5"/>
      <c r="I117" s="8" t="str">
        <f aca="false">IF(A117="","",IF(OR(E117="",F117="",G117="",H117=""),"Pending",IF(AND(E117="Good",F117="Yes",G117="Yes",H117="Yes"),"Pass","Fail")))</f>
        <v/>
      </c>
      <c r="J117" s="6"/>
    </row>
    <row r="118" customFormat="false" ht="15" hidden="false" customHeight="false" outlineLevel="0" collapsed="false">
      <c r="A118" s="5"/>
      <c r="B118" s="5"/>
      <c r="C118" s="6"/>
      <c r="D118" s="7"/>
      <c r="E118" s="5"/>
      <c r="F118" s="5"/>
      <c r="G118" s="5"/>
      <c r="H118" s="5"/>
      <c r="I118" s="8" t="str">
        <f aca="false">IF(A118="","",IF(OR(E118="",F118="",G118="",H118=""),"Pending",IF(AND(E118="Good",F118="Yes",G118="Yes",H118="Yes"),"Pass","Fail")))</f>
        <v/>
      </c>
      <c r="J118" s="6"/>
    </row>
    <row r="119" customFormat="false" ht="15" hidden="false" customHeight="false" outlineLevel="0" collapsed="false">
      <c r="A119" s="5"/>
      <c r="B119" s="5"/>
      <c r="C119" s="6"/>
      <c r="D119" s="7"/>
      <c r="E119" s="5"/>
      <c r="F119" s="5"/>
      <c r="G119" s="5"/>
      <c r="H119" s="5"/>
      <c r="I119" s="8" t="str">
        <f aca="false">IF(A119="","",IF(OR(E119="",F119="",G119="",H119=""),"Pending",IF(AND(E119="Good",F119="Yes",G119="Yes",H119="Yes"),"Pass","Fail")))</f>
        <v/>
      </c>
      <c r="J119" s="6"/>
    </row>
    <row r="120" customFormat="false" ht="15" hidden="false" customHeight="false" outlineLevel="0" collapsed="false">
      <c r="A120" s="5"/>
      <c r="B120" s="5"/>
      <c r="C120" s="6"/>
      <c r="D120" s="7"/>
      <c r="E120" s="5"/>
      <c r="F120" s="5"/>
      <c r="G120" s="5"/>
      <c r="H120" s="5"/>
      <c r="I120" s="8" t="str">
        <f aca="false">IF(A120="","",IF(OR(E120="",F120="",G120="",H120=""),"Pending",IF(AND(E120="Good",F120="Yes",G120="Yes",H120="Yes"),"Pass","Fail")))</f>
        <v/>
      </c>
      <c r="J120" s="6"/>
    </row>
    <row r="121" customFormat="false" ht="15" hidden="false" customHeight="false" outlineLevel="0" collapsed="false">
      <c r="A121" s="5"/>
      <c r="B121" s="5"/>
      <c r="C121" s="6"/>
      <c r="D121" s="7"/>
      <c r="E121" s="5"/>
      <c r="F121" s="5"/>
      <c r="G121" s="5"/>
      <c r="H121" s="5"/>
      <c r="I121" s="8" t="str">
        <f aca="false">IF(A121="","",IF(OR(E121="",F121="",G121="",H121=""),"Pending",IF(AND(E121="Good",F121="Yes",G121="Yes",H121="Yes"),"Pass","Fail")))</f>
        <v/>
      </c>
      <c r="J121" s="6"/>
    </row>
    <row r="122" customFormat="false" ht="15" hidden="false" customHeight="false" outlineLevel="0" collapsed="false">
      <c r="A122" s="5"/>
      <c r="B122" s="5"/>
      <c r="C122" s="6"/>
      <c r="D122" s="7"/>
      <c r="E122" s="5"/>
      <c r="F122" s="5"/>
      <c r="G122" s="5"/>
      <c r="H122" s="5"/>
      <c r="I122" s="8" t="str">
        <f aca="false">IF(A122="","",IF(OR(E122="",F122="",G122="",H122=""),"Pending",IF(AND(E122="Good",F122="Yes",G122="Yes",H122="Yes"),"Pass","Fail")))</f>
        <v/>
      </c>
      <c r="J122" s="6"/>
    </row>
    <row r="123" customFormat="false" ht="15" hidden="false" customHeight="false" outlineLevel="0" collapsed="false">
      <c r="A123" s="5"/>
      <c r="B123" s="5"/>
      <c r="C123" s="6"/>
      <c r="D123" s="7"/>
      <c r="E123" s="5"/>
      <c r="F123" s="5"/>
      <c r="G123" s="5"/>
      <c r="H123" s="5"/>
      <c r="I123" s="8" t="str">
        <f aca="false">IF(A123="","",IF(OR(E123="",F123="",G123="",H123=""),"Pending",IF(AND(E123="Good",F123="Yes",G123="Yes",H123="Yes"),"Pass","Fail")))</f>
        <v/>
      </c>
      <c r="J123" s="6"/>
    </row>
    <row r="124" customFormat="false" ht="15" hidden="false" customHeight="false" outlineLevel="0" collapsed="false">
      <c r="A124" s="5"/>
      <c r="B124" s="5"/>
      <c r="C124" s="6"/>
      <c r="D124" s="7"/>
      <c r="E124" s="5"/>
      <c r="F124" s="5"/>
      <c r="G124" s="5"/>
      <c r="H124" s="5"/>
      <c r="I124" s="8" t="str">
        <f aca="false">IF(A124="","",IF(OR(E124="",F124="",G124="",H124=""),"Pending",IF(AND(E124="Good",F124="Yes",G124="Yes",H124="Yes"),"Pass","Fail")))</f>
        <v/>
      </c>
      <c r="J124" s="6"/>
    </row>
    <row r="125" customFormat="false" ht="15" hidden="false" customHeight="false" outlineLevel="0" collapsed="false">
      <c r="A125" s="5"/>
      <c r="B125" s="5"/>
      <c r="C125" s="6"/>
      <c r="D125" s="7"/>
      <c r="E125" s="5"/>
      <c r="F125" s="5"/>
      <c r="G125" s="5"/>
      <c r="H125" s="5"/>
      <c r="I125" s="8" t="str">
        <f aca="false">IF(A125="","",IF(OR(E125="",F125="",G125="",H125=""),"Pending",IF(AND(E125="Good",F125="Yes",G125="Yes",H125="Yes"),"Pass","Fail")))</f>
        <v/>
      </c>
      <c r="J125" s="6"/>
    </row>
    <row r="126" customFormat="false" ht="15" hidden="false" customHeight="false" outlineLevel="0" collapsed="false">
      <c r="A126" s="5"/>
      <c r="B126" s="5"/>
      <c r="C126" s="6"/>
      <c r="D126" s="7"/>
      <c r="E126" s="5"/>
      <c r="F126" s="5"/>
      <c r="G126" s="5"/>
      <c r="H126" s="5"/>
      <c r="I126" s="8" t="str">
        <f aca="false">IF(A126="","",IF(OR(E126="",F126="",G126="",H126=""),"Pending",IF(AND(E126="Good",F126="Yes",G126="Yes",H126="Yes"),"Pass","Fail")))</f>
        <v/>
      </c>
      <c r="J126" s="6"/>
    </row>
    <row r="127" customFormat="false" ht="15" hidden="false" customHeight="false" outlineLevel="0" collapsed="false">
      <c r="A127" s="5"/>
      <c r="B127" s="5"/>
      <c r="C127" s="6"/>
      <c r="D127" s="7"/>
      <c r="E127" s="5"/>
      <c r="F127" s="5"/>
      <c r="G127" s="5"/>
      <c r="H127" s="5"/>
      <c r="I127" s="8" t="str">
        <f aca="false">IF(A127="","",IF(OR(E127="",F127="",G127="",H127=""),"Pending",IF(AND(E127="Good",F127="Yes",G127="Yes",H127="Yes"),"Pass","Fail")))</f>
        <v/>
      </c>
      <c r="J127" s="6"/>
    </row>
    <row r="128" customFormat="false" ht="15" hidden="false" customHeight="false" outlineLevel="0" collapsed="false">
      <c r="A128" s="5"/>
      <c r="B128" s="5"/>
      <c r="C128" s="6"/>
      <c r="D128" s="7"/>
      <c r="E128" s="5"/>
      <c r="F128" s="5"/>
      <c r="G128" s="5"/>
      <c r="H128" s="5"/>
      <c r="I128" s="8" t="str">
        <f aca="false">IF(A128="","",IF(OR(E128="",F128="",G128="",H128=""),"Pending",IF(AND(E128="Good",F128="Yes",G128="Yes",H128="Yes"),"Pass","Fail")))</f>
        <v/>
      </c>
      <c r="J128" s="6"/>
    </row>
    <row r="129" customFormat="false" ht="15" hidden="false" customHeight="false" outlineLevel="0" collapsed="false">
      <c r="A129" s="5"/>
      <c r="B129" s="5"/>
      <c r="C129" s="6"/>
      <c r="D129" s="7"/>
      <c r="E129" s="5"/>
      <c r="F129" s="5"/>
      <c r="G129" s="5"/>
      <c r="H129" s="5"/>
      <c r="I129" s="8" t="str">
        <f aca="false">IF(A129="","",IF(OR(E129="",F129="",G129="",H129=""),"Pending",IF(AND(E129="Good",F129="Yes",G129="Yes",H129="Yes"),"Pass","Fail")))</f>
        <v/>
      </c>
      <c r="J129" s="6"/>
    </row>
    <row r="130" customFormat="false" ht="15" hidden="false" customHeight="false" outlineLevel="0" collapsed="false">
      <c r="A130" s="5"/>
      <c r="B130" s="5"/>
      <c r="C130" s="6"/>
      <c r="D130" s="7"/>
      <c r="E130" s="5"/>
      <c r="F130" s="5"/>
      <c r="G130" s="5"/>
      <c r="H130" s="5"/>
      <c r="I130" s="8" t="str">
        <f aca="false">IF(A130="","",IF(OR(E130="",F130="",G130="",H130=""),"Pending",IF(AND(E130="Good",F130="Yes",G130="Yes",H130="Yes"),"Pass","Fail")))</f>
        <v/>
      </c>
      <c r="J130" s="6"/>
    </row>
    <row r="131" customFormat="false" ht="15" hidden="false" customHeight="false" outlineLevel="0" collapsed="false">
      <c r="A131" s="5"/>
      <c r="B131" s="5"/>
      <c r="C131" s="6"/>
      <c r="D131" s="7"/>
      <c r="E131" s="5"/>
      <c r="F131" s="5"/>
      <c r="G131" s="5"/>
      <c r="H131" s="5"/>
      <c r="I131" s="8" t="str">
        <f aca="false">IF(A131="","",IF(OR(E131="",F131="",G131="",H131=""),"Pending",IF(AND(E131="Good",F131="Yes",G131="Yes",H131="Yes"),"Pass","Fail")))</f>
        <v/>
      </c>
      <c r="J131" s="6"/>
    </row>
    <row r="132" customFormat="false" ht="15" hidden="false" customHeight="false" outlineLevel="0" collapsed="false">
      <c r="A132" s="5"/>
      <c r="B132" s="5"/>
      <c r="C132" s="6"/>
      <c r="D132" s="7"/>
      <c r="E132" s="5"/>
      <c r="F132" s="5"/>
      <c r="G132" s="5"/>
      <c r="H132" s="5"/>
      <c r="I132" s="8" t="str">
        <f aca="false">IF(A132="","",IF(OR(E132="",F132="",G132="",H132=""),"Pending",IF(AND(E132="Good",F132="Yes",G132="Yes",H132="Yes"),"Pass","Fail")))</f>
        <v/>
      </c>
      <c r="J132" s="6"/>
    </row>
    <row r="133" customFormat="false" ht="15" hidden="false" customHeight="false" outlineLevel="0" collapsed="false">
      <c r="A133" s="5"/>
      <c r="B133" s="5"/>
      <c r="C133" s="6"/>
      <c r="D133" s="7"/>
      <c r="E133" s="5"/>
      <c r="F133" s="5"/>
      <c r="G133" s="5"/>
      <c r="H133" s="5"/>
      <c r="I133" s="8" t="str">
        <f aca="false">IF(A133="","",IF(OR(E133="",F133="",G133="",H133=""),"Pending",IF(AND(E133="Good",F133="Yes",G133="Yes",H133="Yes"),"Pass","Fail")))</f>
        <v/>
      </c>
      <c r="J133" s="6"/>
    </row>
    <row r="134" customFormat="false" ht="15" hidden="false" customHeight="false" outlineLevel="0" collapsed="false">
      <c r="A134" s="5"/>
      <c r="B134" s="5"/>
      <c r="C134" s="6"/>
      <c r="D134" s="7"/>
      <c r="E134" s="5"/>
      <c r="F134" s="5"/>
      <c r="G134" s="5"/>
      <c r="H134" s="5"/>
      <c r="I134" s="8" t="str">
        <f aca="false">IF(A134="","",IF(OR(E134="",F134="",G134="",H134=""),"Pending",IF(AND(E134="Good",F134="Yes",G134="Yes",H134="Yes"),"Pass","Fail")))</f>
        <v/>
      </c>
      <c r="J134" s="6"/>
    </row>
    <row r="135" customFormat="false" ht="15" hidden="false" customHeight="false" outlineLevel="0" collapsed="false">
      <c r="A135" s="5"/>
      <c r="B135" s="5"/>
      <c r="C135" s="6"/>
      <c r="D135" s="7"/>
      <c r="E135" s="5"/>
      <c r="F135" s="5"/>
      <c r="G135" s="5"/>
      <c r="H135" s="5"/>
      <c r="I135" s="8" t="str">
        <f aca="false">IF(A135="","",IF(OR(E135="",F135="",G135="",H135=""),"Pending",IF(AND(E135="Good",F135="Yes",G135="Yes",H135="Yes"),"Pass","Fail")))</f>
        <v/>
      </c>
      <c r="J135" s="6"/>
    </row>
    <row r="136" customFormat="false" ht="15" hidden="false" customHeight="false" outlineLevel="0" collapsed="false">
      <c r="A136" s="5"/>
      <c r="B136" s="5"/>
      <c r="C136" s="6"/>
      <c r="D136" s="7"/>
      <c r="E136" s="5"/>
      <c r="F136" s="5"/>
      <c r="G136" s="5"/>
      <c r="H136" s="5"/>
      <c r="I136" s="8" t="str">
        <f aca="false">IF(A136="","",IF(OR(E136="",F136="",G136="",H136=""),"Pending",IF(AND(E136="Good",F136="Yes",G136="Yes",H136="Yes"),"Pass","Fail")))</f>
        <v/>
      </c>
      <c r="J136" s="6"/>
    </row>
    <row r="137" customFormat="false" ht="15" hidden="false" customHeight="false" outlineLevel="0" collapsed="false">
      <c r="A137" s="5"/>
      <c r="B137" s="5"/>
      <c r="C137" s="6"/>
      <c r="D137" s="7"/>
      <c r="E137" s="5"/>
      <c r="F137" s="5"/>
      <c r="G137" s="5"/>
      <c r="H137" s="5"/>
      <c r="I137" s="8" t="str">
        <f aca="false">IF(A137="","",IF(OR(E137="",F137="",G137="",H137=""),"Pending",IF(AND(E137="Good",F137="Yes",G137="Yes",H137="Yes"),"Pass","Fail")))</f>
        <v/>
      </c>
      <c r="J137" s="6"/>
    </row>
    <row r="138" customFormat="false" ht="15" hidden="false" customHeight="false" outlineLevel="0" collapsed="false">
      <c r="A138" s="5"/>
      <c r="B138" s="5"/>
      <c r="C138" s="6"/>
      <c r="D138" s="7"/>
      <c r="E138" s="5"/>
      <c r="F138" s="5"/>
      <c r="G138" s="5"/>
      <c r="H138" s="5"/>
      <c r="I138" s="8" t="str">
        <f aca="false">IF(A138="","",IF(OR(E138="",F138="",G138="",H138=""),"Pending",IF(AND(E138="Good",F138="Yes",G138="Yes",H138="Yes"),"Pass","Fail")))</f>
        <v/>
      </c>
      <c r="J138" s="6"/>
    </row>
    <row r="139" customFormat="false" ht="15" hidden="false" customHeight="false" outlineLevel="0" collapsed="false">
      <c r="A139" s="5"/>
      <c r="B139" s="5"/>
      <c r="C139" s="6"/>
      <c r="D139" s="7"/>
      <c r="E139" s="5"/>
      <c r="F139" s="5"/>
      <c r="G139" s="5"/>
      <c r="H139" s="5"/>
      <c r="I139" s="8" t="str">
        <f aca="false">IF(A139="","",IF(OR(E139="",F139="",G139="",H139=""),"Pending",IF(AND(E139="Good",F139="Yes",G139="Yes",H139="Yes"),"Pass","Fail")))</f>
        <v/>
      </c>
      <c r="J139" s="6"/>
    </row>
    <row r="140" customFormat="false" ht="15" hidden="false" customHeight="false" outlineLevel="0" collapsed="false">
      <c r="A140" s="5"/>
      <c r="B140" s="5"/>
      <c r="C140" s="6"/>
      <c r="D140" s="7"/>
      <c r="E140" s="5"/>
      <c r="F140" s="5"/>
      <c r="G140" s="5"/>
      <c r="H140" s="5"/>
      <c r="I140" s="8" t="str">
        <f aca="false">IF(A140="","",IF(OR(E140="",F140="",G140="",H140=""),"Pending",IF(AND(E140="Good",F140="Yes",G140="Yes",H140="Yes"),"Pass","Fail")))</f>
        <v/>
      </c>
      <c r="J140" s="6"/>
    </row>
    <row r="141" customFormat="false" ht="15" hidden="false" customHeight="false" outlineLevel="0" collapsed="false">
      <c r="A141" s="5"/>
      <c r="B141" s="5"/>
      <c r="C141" s="6"/>
      <c r="D141" s="7"/>
      <c r="E141" s="5"/>
      <c r="F141" s="5"/>
      <c r="G141" s="5"/>
      <c r="H141" s="5"/>
      <c r="I141" s="8" t="str">
        <f aca="false">IF(A141="","",IF(OR(E141="",F141="",G141="",H141=""),"Pending",IF(AND(E141="Good",F141="Yes",G141="Yes",H141="Yes"),"Pass","Fail")))</f>
        <v/>
      </c>
      <c r="J141" s="6"/>
    </row>
    <row r="142" customFormat="false" ht="15" hidden="false" customHeight="false" outlineLevel="0" collapsed="false">
      <c r="A142" s="5"/>
      <c r="B142" s="5"/>
      <c r="C142" s="6"/>
      <c r="D142" s="7"/>
      <c r="E142" s="5"/>
      <c r="F142" s="5"/>
      <c r="G142" s="5"/>
      <c r="H142" s="5"/>
      <c r="I142" s="8" t="str">
        <f aca="false">IF(A142="","",IF(OR(E142="",F142="",G142="",H142=""),"Pending",IF(AND(E142="Good",F142="Yes",G142="Yes",H142="Yes"),"Pass","Fail")))</f>
        <v/>
      </c>
      <c r="J142" s="6"/>
    </row>
    <row r="143" customFormat="false" ht="15" hidden="false" customHeight="false" outlineLevel="0" collapsed="false">
      <c r="A143" s="5"/>
      <c r="B143" s="5"/>
      <c r="C143" s="6"/>
      <c r="D143" s="7"/>
      <c r="E143" s="5"/>
      <c r="F143" s="5"/>
      <c r="G143" s="5"/>
      <c r="H143" s="5"/>
      <c r="I143" s="8" t="str">
        <f aca="false">IF(A143="","",IF(OR(E143="",F143="",G143="",H143=""),"Pending",IF(AND(E143="Good",F143="Yes",G143="Yes",H143="Yes"),"Pass","Fail")))</f>
        <v/>
      </c>
      <c r="J143" s="6"/>
    </row>
    <row r="144" customFormat="false" ht="15" hidden="false" customHeight="false" outlineLevel="0" collapsed="false">
      <c r="A144" s="5"/>
      <c r="B144" s="5"/>
      <c r="C144" s="6"/>
      <c r="D144" s="7"/>
      <c r="E144" s="5"/>
      <c r="F144" s="5"/>
      <c r="G144" s="5"/>
      <c r="H144" s="5"/>
      <c r="I144" s="8" t="str">
        <f aca="false">IF(A144="","",IF(OR(E144="",F144="",G144="",H144=""),"Pending",IF(AND(E144="Good",F144="Yes",G144="Yes",H144="Yes"),"Pass","Fail")))</f>
        <v/>
      </c>
      <c r="J144" s="6"/>
    </row>
    <row r="145" customFormat="false" ht="15" hidden="false" customHeight="false" outlineLevel="0" collapsed="false">
      <c r="A145" s="5"/>
      <c r="B145" s="5"/>
      <c r="C145" s="6"/>
      <c r="D145" s="7"/>
      <c r="E145" s="5"/>
      <c r="F145" s="5"/>
      <c r="G145" s="5"/>
      <c r="H145" s="5"/>
      <c r="I145" s="8" t="str">
        <f aca="false">IF(A145="","",IF(OR(E145="",F145="",G145="",H145=""),"Pending",IF(AND(E145="Good",F145="Yes",G145="Yes",H145="Yes"),"Pass","Fail")))</f>
        <v/>
      </c>
      <c r="J145" s="6"/>
    </row>
    <row r="146" customFormat="false" ht="15" hidden="false" customHeight="false" outlineLevel="0" collapsed="false">
      <c r="A146" s="5"/>
      <c r="B146" s="5"/>
      <c r="C146" s="6"/>
      <c r="D146" s="7"/>
      <c r="E146" s="5"/>
      <c r="F146" s="5"/>
      <c r="G146" s="5"/>
      <c r="H146" s="5"/>
      <c r="I146" s="8" t="str">
        <f aca="false">IF(A146="","",IF(OR(E146="",F146="",G146="",H146=""),"Pending",IF(AND(E146="Good",F146="Yes",G146="Yes",H146="Yes"),"Pass","Fail")))</f>
        <v/>
      </c>
      <c r="J146" s="6"/>
    </row>
    <row r="147" customFormat="false" ht="15" hidden="false" customHeight="false" outlineLevel="0" collapsed="false">
      <c r="A147" s="5"/>
      <c r="B147" s="5"/>
      <c r="C147" s="6"/>
      <c r="D147" s="7"/>
      <c r="E147" s="5"/>
      <c r="F147" s="5"/>
      <c r="G147" s="5"/>
      <c r="H147" s="5"/>
      <c r="I147" s="8" t="str">
        <f aca="false">IF(A147="","",IF(OR(E147="",F147="",G147="",H147=""),"Pending",IF(AND(E147="Good",F147="Yes",G147="Yes",H147="Yes"),"Pass","Fail")))</f>
        <v/>
      </c>
      <c r="J147" s="6"/>
    </row>
    <row r="148" customFormat="false" ht="15" hidden="false" customHeight="false" outlineLevel="0" collapsed="false">
      <c r="A148" s="5"/>
      <c r="B148" s="5"/>
      <c r="C148" s="6"/>
      <c r="D148" s="7"/>
      <c r="E148" s="5"/>
      <c r="F148" s="5"/>
      <c r="G148" s="5"/>
      <c r="H148" s="5"/>
      <c r="I148" s="8" t="str">
        <f aca="false">IF(A148="","",IF(OR(E148="",F148="",G148="",H148=""),"Pending",IF(AND(E148="Good",F148="Yes",G148="Yes",H148="Yes"),"Pass","Fail")))</f>
        <v/>
      </c>
      <c r="J148" s="6"/>
    </row>
    <row r="149" customFormat="false" ht="15" hidden="false" customHeight="false" outlineLevel="0" collapsed="false">
      <c r="A149" s="5"/>
      <c r="B149" s="5"/>
      <c r="C149" s="6"/>
      <c r="D149" s="7"/>
      <c r="E149" s="5"/>
      <c r="F149" s="5"/>
      <c r="G149" s="5"/>
      <c r="H149" s="5"/>
      <c r="I149" s="8" t="str">
        <f aca="false">IF(A149="","",IF(OR(E149="",F149="",G149="",H149=""),"Pending",IF(AND(E149="Good",F149="Yes",G149="Yes",H149="Yes"),"Pass","Fail")))</f>
        <v/>
      </c>
      <c r="J149" s="6"/>
    </row>
    <row r="150" customFormat="false" ht="15" hidden="false" customHeight="false" outlineLevel="0" collapsed="false">
      <c r="A150" s="5"/>
      <c r="B150" s="5"/>
      <c r="C150" s="6"/>
      <c r="D150" s="7"/>
      <c r="E150" s="5"/>
      <c r="F150" s="5"/>
      <c r="G150" s="5"/>
      <c r="H150" s="5"/>
      <c r="I150" s="8" t="str">
        <f aca="false">IF(A150="","",IF(OR(E150="",F150="",G150="",H150=""),"Pending",IF(AND(E150="Good",F150="Yes",G150="Yes",H150="Yes"),"Pass","Fail")))</f>
        <v/>
      </c>
      <c r="J150" s="6"/>
    </row>
    <row r="151" customFormat="false" ht="15" hidden="false" customHeight="false" outlineLevel="0" collapsed="false">
      <c r="A151" s="5"/>
      <c r="B151" s="5"/>
      <c r="C151" s="6"/>
      <c r="D151" s="7"/>
      <c r="E151" s="5"/>
      <c r="F151" s="5"/>
      <c r="G151" s="5"/>
      <c r="H151" s="5"/>
      <c r="I151" s="8" t="str">
        <f aca="false">IF(A151="","",IF(OR(E151="",F151="",G151="",H151=""),"Pending",IF(AND(E151="Good",F151="Yes",G151="Yes",H151="Yes"),"Pass","Fail")))</f>
        <v/>
      </c>
      <c r="J151" s="6"/>
    </row>
    <row r="152" customFormat="false" ht="15" hidden="false" customHeight="false" outlineLevel="0" collapsed="false">
      <c r="A152" s="5"/>
      <c r="B152" s="5"/>
      <c r="C152" s="6"/>
      <c r="D152" s="7"/>
      <c r="E152" s="5"/>
      <c r="F152" s="5"/>
      <c r="G152" s="5"/>
      <c r="H152" s="5"/>
      <c r="I152" s="8" t="str">
        <f aca="false">IF(A152="","",IF(OR(E152="",F152="",G152="",H152=""),"Pending",IF(AND(E152="Good",F152="Yes",G152="Yes",H152="Yes"),"Pass","Fail")))</f>
        <v/>
      </c>
      <c r="J152" s="6"/>
    </row>
    <row r="153" customFormat="false" ht="15" hidden="false" customHeight="false" outlineLevel="0" collapsed="false">
      <c r="A153" s="5"/>
      <c r="B153" s="5"/>
      <c r="C153" s="6"/>
      <c r="D153" s="7"/>
      <c r="E153" s="5"/>
      <c r="F153" s="5"/>
      <c r="G153" s="5"/>
      <c r="H153" s="5"/>
      <c r="I153" s="8" t="str">
        <f aca="false">IF(A153="","",IF(OR(E153="",F153="",G153="",H153=""),"Pending",IF(AND(E153="Good",F153="Yes",G153="Yes",H153="Yes"),"Pass","Fail")))</f>
        <v/>
      </c>
      <c r="J153" s="6"/>
    </row>
    <row r="154" customFormat="false" ht="15" hidden="false" customHeight="false" outlineLevel="0" collapsed="false">
      <c r="A154" s="5"/>
      <c r="B154" s="5"/>
      <c r="C154" s="6"/>
      <c r="D154" s="7"/>
      <c r="E154" s="5"/>
      <c r="F154" s="5"/>
      <c r="G154" s="5"/>
      <c r="H154" s="5"/>
      <c r="I154" s="8" t="str">
        <f aca="false">IF(A154="","",IF(OR(E154="",F154="",G154="",H154=""),"Pending",IF(AND(E154="Good",F154="Yes",G154="Yes",H154="Yes"),"Pass","Fail")))</f>
        <v/>
      </c>
      <c r="J154" s="6"/>
    </row>
    <row r="155" customFormat="false" ht="15" hidden="false" customHeight="false" outlineLevel="0" collapsed="false">
      <c r="A155" s="5"/>
      <c r="B155" s="5"/>
      <c r="C155" s="6"/>
      <c r="D155" s="7"/>
      <c r="E155" s="5"/>
      <c r="F155" s="5"/>
      <c r="G155" s="5"/>
      <c r="H155" s="5"/>
      <c r="I155" s="8" t="str">
        <f aca="false">IF(A155="","",IF(OR(E155="",F155="",G155="",H155=""),"Pending",IF(AND(E155="Good",F155="Yes",G155="Yes",H155="Yes"),"Pass","Fail")))</f>
        <v/>
      </c>
      <c r="J155" s="6"/>
    </row>
    <row r="156" customFormat="false" ht="15" hidden="false" customHeight="false" outlineLevel="0" collapsed="false">
      <c r="A156" s="5"/>
      <c r="B156" s="5"/>
      <c r="C156" s="6"/>
      <c r="D156" s="7"/>
      <c r="E156" s="5"/>
      <c r="F156" s="5"/>
      <c r="G156" s="5"/>
      <c r="H156" s="5"/>
      <c r="I156" s="8" t="str">
        <f aca="false">IF(A156="","",IF(OR(E156="",F156="",G156="",H156=""),"Pending",IF(AND(E156="Good",F156="Yes",G156="Yes",H156="Yes"),"Pass","Fail")))</f>
        <v/>
      </c>
      <c r="J156" s="6"/>
    </row>
    <row r="157" customFormat="false" ht="15" hidden="false" customHeight="false" outlineLevel="0" collapsed="false">
      <c r="A157" s="5"/>
      <c r="B157" s="5"/>
      <c r="C157" s="6"/>
      <c r="D157" s="7"/>
      <c r="E157" s="5"/>
      <c r="F157" s="5"/>
      <c r="G157" s="5"/>
      <c r="H157" s="5"/>
      <c r="I157" s="8" t="str">
        <f aca="false">IF(A157="","",IF(OR(E157="",F157="",G157="",H157=""),"Pending",IF(AND(E157="Good",F157="Yes",G157="Yes",H157="Yes"),"Pass","Fail")))</f>
        <v/>
      </c>
      <c r="J157" s="6"/>
    </row>
    <row r="158" customFormat="false" ht="15" hidden="false" customHeight="false" outlineLevel="0" collapsed="false">
      <c r="A158" s="5"/>
      <c r="B158" s="5"/>
      <c r="C158" s="6"/>
      <c r="D158" s="7"/>
      <c r="E158" s="5"/>
      <c r="F158" s="5"/>
      <c r="G158" s="5"/>
      <c r="H158" s="5"/>
      <c r="I158" s="8" t="str">
        <f aca="false">IF(A158="","",IF(OR(E158="",F158="",G158="",H158=""),"Pending",IF(AND(E158="Good",F158="Yes",G158="Yes",H158="Yes"),"Pass","Fail")))</f>
        <v/>
      </c>
      <c r="J158" s="6"/>
    </row>
    <row r="159" customFormat="false" ht="15" hidden="false" customHeight="false" outlineLevel="0" collapsed="false">
      <c r="A159" s="5"/>
      <c r="B159" s="5"/>
      <c r="C159" s="6"/>
      <c r="D159" s="7"/>
      <c r="E159" s="5"/>
      <c r="F159" s="5"/>
      <c r="G159" s="5"/>
      <c r="H159" s="5"/>
      <c r="I159" s="8" t="str">
        <f aca="false">IF(A159="","",IF(OR(E159="",F159="",G159="",H159=""),"Pending",IF(AND(E159="Good",F159="Yes",G159="Yes",H159="Yes"),"Pass","Fail")))</f>
        <v/>
      </c>
      <c r="J159" s="6"/>
    </row>
    <row r="160" customFormat="false" ht="15" hidden="false" customHeight="false" outlineLevel="0" collapsed="false">
      <c r="A160" s="5"/>
      <c r="B160" s="5"/>
      <c r="C160" s="6"/>
      <c r="D160" s="7"/>
      <c r="E160" s="5"/>
      <c r="F160" s="5"/>
      <c r="G160" s="5"/>
      <c r="H160" s="5"/>
      <c r="I160" s="8" t="str">
        <f aca="false">IF(A160="","",IF(OR(E160="",F160="",G160="",H160=""),"Pending",IF(AND(E160="Good",F160="Yes",G160="Yes",H160="Yes"),"Pass","Fail")))</f>
        <v/>
      </c>
      <c r="J160" s="6"/>
    </row>
    <row r="161" customFormat="false" ht="15" hidden="false" customHeight="false" outlineLevel="0" collapsed="false">
      <c r="A161" s="5"/>
      <c r="B161" s="5"/>
      <c r="C161" s="6"/>
      <c r="D161" s="7"/>
      <c r="E161" s="5"/>
      <c r="F161" s="5"/>
      <c r="G161" s="5"/>
      <c r="H161" s="5"/>
      <c r="I161" s="8" t="str">
        <f aca="false">IF(A161="","",IF(OR(E161="",F161="",G161="",H161=""),"Pending",IF(AND(E161="Good",F161="Yes",G161="Yes",H161="Yes"),"Pass","Fail")))</f>
        <v/>
      </c>
      <c r="J161" s="6"/>
    </row>
    <row r="162" customFormat="false" ht="15" hidden="false" customHeight="false" outlineLevel="0" collapsed="false">
      <c r="A162" s="5"/>
      <c r="B162" s="5"/>
      <c r="C162" s="6"/>
      <c r="D162" s="7"/>
      <c r="E162" s="5"/>
      <c r="F162" s="5"/>
      <c r="G162" s="5"/>
      <c r="H162" s="5"/>
      <c r="I162" s="8" t="str">
        <f aca="false">IF(A162="","",IF(OR(E162="",F162="",G162="",H162=""),"Pending",IF(AND(E162="Good",F162="Yes",G162="Yes",H162="Yes"),"Pass","Fail")))</f>
        <v/>
      </c>
      <c r="J162" s="6"/>
    </row>
    <row r="163" customFormat="false" ht="15" hidden="false" customHeight="false" outlineLevel="0" collapsed="false">
      <c r="A163" s="5"/>
      <c r="B163" s="5"/>
      <c r="C163" s="6"/>
      <c r="D163" s="7"/>
      <c r="E163" s="5"/>
      <c r="F163" s="5"/>
      <c r="G163" s="5"/>
      <c r="H163" s="5"/>
      <c r="I163" s="8" t="str">
        <f aca="false">IF(A163="","",IF(OR(E163="",F163="",G163="",H163=""),"Pending",IF(AND(E163="Good",F163="Yes",G163="Yes",H163="Yes"),"Pass","Fail")))</f>
        <v/>
      </c>
      <c r="J163" s="6"/>
    </row>
    <row r="164" customFormat="false" ht="15" hidden="false" customHeight="false" outlineLevel="0" collapsed="false">
      <c r="A164" s="5"/>
      <c r="B164" s="5"/>
      <c r="C164" s="6"/>
      <c r="D164" s="7"/>
      <c r="E164" s="5"/>
      <c r="F164" s="5"/>
      <c r="G164" s="5"/>
      <c r="H164" s="5"/>
      <c r="I164" s="8" t="str">
        <f aca="false">IF(A164="","",IF(OR(E164="",F164="",G164="",H164=""),"Pending",IF(AND(E164="Good",F164="Yes",G164="Yes",H164="Yes"),"Pass","Fail")))</f>
        <v/>
      </c>
      <c r="J164" s="6"/>
    </row>
    <row r="165" customFormat="false" ht="15" hidden="false" customHeight="false" outlineLevel="0" collapsed="false">
      <c r="A165" s="5"/>
      <c r="B165" s="5"/>
      <c r="C165" s="6"/>
      <c r="D165" s="7"/>
      <c r="E165" s="5"/>
      <c r="F165" s="5"/>
      <c r="G165" s="5"/>
      <c r="H165" s="5"/>
      <c r="I165" s="8" t="str">
        <f aca="false">IF(A165="","",IF(OR(E165="",F165="",G165="",H165=""),"Pending",IF(AND(E165="Good",F165="Yes",G165="Yes",H165="Yes"),"Pass","Fail")))</f>
        <v/>
      </c>
      <c r="J165" s="6"/>
    </row>
    <row r="166" customFormat="false" ht="15" hidden="false" customHeight="false" outlineLevel="0" collapsed="false">
      <c r="A166" s="5"/>
      <c r="B166" s="5"/>
      <c r="C166" s="6"/>
      <c r="D166" s="7"/>
      <c r="E166" s="5"/>
      <c r="F166" s="5"/>
      <c r="G166" s="5"/>
      <c r="H166" s="5"/>
      <c r="I166" s="8" t="str">
        <f aca="false">IF(A166="","",IF(OR(E166="",F166="",G166="",H166=""),"Pending",IF(AND(E166="Good",F166="Yes",G166="Yes",H166="Yes"),"Pass","Fail")))</f>
        <v/>
      </c>
      <c r="J166" s="6"/>
    </row>
    <row r="167" customFormat="false" ht="15" hidden="false" customHeight="false" outlineLevel="0" collapsed="false">
      <c r="A167" s="5"/>
      <c r="B167" s="5"/>
      <c r="C167" s="6"/>
      <c r="D167" s="7"/>
      <c r="E167" s="5"/>
      <c r="F167" s="5"/>
      <c r="G167" s="5"/>
      <c r="H167" s="5"/>
      <c r="I167" s="8" t="str">
        <f aca="false">IF(A167="","",IF(OR(E167="",F167="",G167="",H167=""),"Pending",IF(AND(E167="Good",F167="Yes",G167="Yes",H167="Yes"),"Pass","Fail")))</f>
        <v/>
      </c>
      <c r="J167" s="6"/>
    </row>
    <row r="168" customFormat="false" ht="15" hidden="false" customHeight="false" outlineLevel="0" collapsed="false">
      <c r="A168" s="5"/>
      <c r="B168" s="5"/>
      <c r="C168" s="6"/>
      <c r="D168" s="7"/>
      <c r="E168" s="5"/>
      <c r="F168" s="5"/>
      <c r="G168" s="5"/>
      <c r="H168" s="5"/>
      <c r="I168" s="8" t="str">
        <f aca="false">IF(A168="","",IF(OR(E168="",F168="",G168="",H168=""),"Pending",IF(AND(E168="Good",F168="Yes",G168="Yes",H168="Yes"),"Pass","Fail")))</f>
        <v/>
      </c>
      <c r="J168" s="6"/>
    </row>
    <row r="169" customFormat="false" ht="15" hidden="false" customHeight="false" outlineLevel="0" collapsed="false">
      <c r="A169" s="5"/>
      <c r="B169" s="5"/>
      <c r="C169" s="6"/>
      <c r="D169" s="7"/>
      <c r="E169" s="5"/>
      <c r="F169" s="5"/>
      <c r="G169" s="5"/>
      <c r="H169" s="5"/>
      <c r="I169" s="8" t="str">
        <f aca="false">IF(A169="","",IF(OR(E169="",F169="",G169="",H169=""),"Pending",IF(AND(E169="Good",F169="Yes",G169="Yes",H169="Yes"),"Pass","Fail")))</f>
        <v/>
      </c>
      <c r="J169" s="6"/>
    </row>
    <row r="170" customFormat="false" ht="15" hidden="false" customHeight="false" outlineLevel="0" collapsed="false">
      <c r="A170" s="5"/>
      <c r="B170" s="5"/>
      <c r="C170" s="6"/>
      <c r="D170" s="7"/>
      <c r="E170" s="5"/>
      <c r="F170" s="5"/>
      <c r="G170" s="5"/>
      <c r="H170" s="5"/>
      <c r="I170" s="8" t="str">
        <f aca="false">IF(A170="","",IF(OR(E170="",F170="",G170="",H170=""),"Pending",IF(AND(E170="Good",F170="Yes",G170="Yes",H170="Yes"),"Pass","Fail")))</f>
        <v/>
      </c>
      <c r="J170" s="6"/>
    </row>
    <row r="171" customFormat="false" ht="15" hidden="false" customHeight="false" outlineLevel="0" collapsed="false">
      <c r="A171" s="5"/>
      <c r="B171" s="5"/>
      <c r="C171" s="6"/>
      <c r="D171" s="7"/>
      <c r="E171" s="5"/>
      <c r="F171" s="5"/>
      <c r="G171" s="5"/>
      <c r="H171" s="5"/>
      <c r="I171" s="8" t="str">
        <f aca="false">IF(A171="","",IF(OR(E171="",F171="",G171="",H171=""),"Pending",IF(AND(E171="Good",F171="Yes",G171="Yes",H171="Yes"),"Pass","Fail")))</f>
        <v/>
      </c>
      <c r="J171" s="6"/>
    </row>
    <row r="172" customFormat="false" ht="15" hidden="false" customHeight="false" outlineLevel="0" collapsed="false">
      <c r="A172" s="5"/>
      <c r="B172" s="5"/>
      <c r="C172" s="6"/>
      <c r="D172" s="7"/>
      <c r="E172" s="5"/>
      <c r="F172" s="5"/>
      <c r="G172" s="5"/>
      <c r="H172" s="5"/>
      <c r="I172" s="8" t="str">
        <f aca="false">IF(A172="","",IF(OR(E172="",F172="",G172="",H172=""),"Pending",IF(AND(E172="Good",F172="Yes",G172="Yes",H172="Yes"),"Pass","Fail")))</f>
        <v/>
      </c>
      <c r="J172" s="6"/>
    </row>
    <row r="173" customFormat="false" ht="15" hidden="false" customHeight="false" outlineLevel="0" collapsed="false">
      <c r="A173" s="5"/>
      <c r="B173" s="5"/>
      <c r="C173" s="6"/>
      <c r="D173" s="7"/>
      <c r="E173" s="5"/>
      <c r="F173" s="5"/>
      <c r="G173" s="5"/>
      <c r="H173" s="5"/>
      <c r="I173" s="8" t="str">
        <f aca="false">IF(A173="","",IF(OR(E173="",F173="",G173="",H173=""),"Pending",IF(AND(E173="Good",F173="Yes",G173="Yes",H173="Yes"),"Pass","Fail")))</f>
        <v/>
      </c>
      <c r="J173" s="6"/>
    </row>
    <row r="174" customFormat="false" ht="15" hidden="false" customHeight="false" outlineLevel="0" collapsed="false">
      <c r="A174" s="5"/>
      <c r="B174" s="5"/>
      <c r="C174" s="6"/>
      <c r="D174" s="7"/>
      <c r="E174" s="5"/>
      <c r="F174" s="5"/>
      <c r="G174" s="5"/>
      <c r="H174" s="5"/>
      <c r="I174" s="8" t="str">
        <f aca="false">IF(A174="","",IF(OR(E174="",F174="",G174="",H174=""),"Pending",IF(AND(E174="Good",F174="Yes",G174="Yes",H174="Yes"),"Pass","Fail")))</f>
        <v/>
      </c>
      <c r="J174" s="6"/>
    </row>
    <row r="175" customFormat="false" ht="15" hidden="false" customHeight="false" outlineLevel="0" collapsed="false">
      <c r="A175" s="5"/>
      <c r="B175" s="5"/>
      <c r="C175" s="6"/>
      <c r="D175" s="7"/>
      <c r="E175" s="5"/>
      <c r="F175" s="5"/>
      <c r="G175" s="5"/>
      <c r="H175" s="5"/>
      <c r="I175" s="8" t="str">
        <f aca="false">IF(A175="","",IF(OR(E175="",F175="",G175="",H175=""),"Pending",IF(AND(E175="Good",F175="Yes",G175="Yes",H175="Yes"),"Pass","Fail")))</f>
        <v/>
      </c>
      <c r="J175" s="6"/>
    </row>
    <row r="176" customFormat="false" ht="15" hidden="false" customHeight="false" outlineLevel="0" collapsed="false">
      <c r="A176" s="5"/>
      <c r="B176" s="5"/>
      <c r="C176" s="6"/>
      <c r="D176" s="7"/>
      <c r="E176" s="5"/>
      <c r="F176" s="5"/>
      <c r="G176" s="5"/>
      <c r="H176" s="5"/>
      <c r="I176" s="8" t="str">
        <f aca="false">IF(A176="","",IF(OR(E176="",F176="",G176="",H176=""),"Pending",IF(AND(E176="Good",F176="Yes",G176="Yes",H176="Yes"),"Pass","Fail")))</f>
        <v/>
      </c>
      <c r="J176" s="6"/>
    </row>
    <row r="177" customFormat="false" ht="15" hidden="false" customHeight="false" outlineLevel="0" collapsed="false">
      <c r="A177" s="5"/>
      <c r="B177" s="5"/>
      <c r="C177" s="6"/>
      <c r="D177" s="7"/>
      <c r="E177" s="5"/>
      <c r="F177" s="5"/>
      <c r="G177" s="5"/>
      <c r="H177" s="5"/>
      <c r="I177" s="8" t="str">
        <f aca="false">IF(A177="","",IF(OR(E177="",F177="",G177="",H177=""),"Pending",IF(AND(E177="Good",F177="Yes",G177="Yes",H177="Yes"),"Pass","Fail")))</f>
        <v/>
      </c>
      <c r="J177" s="6"/>
    </row>
    <row r="178" customFormat="false" ht="15" hidden="false" customHeight="false" outlineLevel="0" collapsed="false">
      <c r="A178" s="5"/>
      <c r="B178" s="5"/>
      <c r="C178" s="6"/>
      <c r="D178" s="7"/>
      <c r="E178" s="5"/>
      <c r="F178" s="5"/>
      <c r="G178" s="5"/>
      <c r="H178" s="5"/>
      <c r="I178" s="8" t="str">
        <f aca="false">IF(A178="","",IF(OR(E178="",F178="",G178="",H178=""),"Pending",IF(AND(E178="Good",F178="Yes",G178="Yes",H178="Yes"),"Pass","Fail")))</f>
        <v/>
      </c>
      <c r="J178" s="6"/>
    </row>
    <row r="179" customFormat="false" ht="15" hidden="false" customHeight="false" outlineLevel="0" collapsed="false">
      <c r="A179" s="5"/>
      <c r="B179" s="5"/>
      <c r="C179" s="6"/>
      <c r="D179" s="7"/>
      <c r="E179" s="5"/>
      <c r="F179" s="5"/>
      <c r="G179" s="5"/>
      <c r="H179" s="5"/>
      <c r="I179" s="8" t="str">
        <f aca="false">IF(A179="","",IF(OR(E179="",F179="",G179="",H179=""),"Pending",IF(AND(E179="Good",F179="Yes",G179="Yes",H179="Yes"),"Pass","Fail")))</f>
        <v/>
      </c>
      <c r="J179" s="6"/>
    </row>
    <row r="180" customFormat="false" ht="15" hidden="false" customHeight="false" outlineLevel="0" collapsed="false">
      <c r="A180" s="5"/>
      <c r="B180" s="5"/>
      <c r="C180" s="6"/>
      <c r="D180" s="7"/>
      <c r="E180" s="5"/>
      <c r="F180" s="5"/>
      <c r="G180" s="5"/>
      <c r="H180" s="5"/>
      <c r="I180" s="8" t="str">
        <f aca="false">IF(A180="","",IF(OR(E180="",F180="",G180="",H180=""),"Pending",IF(AND(E180="Good",F180="Yes",G180="Yes",H180="Yes"),"Pass","Fail")))</f>
        <v/>
      </c>
      <c r="J180" s="6"/>
    </row>
    <row r="181" customFormat="false" ht="15" hidden="false" customHeight="false" outlineLevel="0" collapsed="false">
      <c r="A181" s="5"/>
      <c r="B181" s="5"/>
      <c r="C181" s="6"/>
      <c r="D181" s="7"/>
      <c r="E181" s="5"/>
      <c r="F181" s="5"/>
      <c r="G181" s="5"/>
      <c r="H181" s="5"/>
      <c r="I181" s="8" t="str">
        <f aca="false">IF(A181="","",IF(OR(E181="",F181="",G181="",H181=""),"Pending",IF(AND(E181="Good",F181="Yes",G181="Yes",H181="Yes"),"Pass","Fail")))</f>
        <v/>
      </c>
      <c r="J181" s="6"/>
    </row>
    <row r="182" customFormat="false" ht="15" hidden="false" customHeight="false" outlineLevel="0" collapsed="false">
      <c r="A182" s="5"/>
      <c r="B182" s="5"/>
      <c r="C182" s="6"/>
      <c r="D182" s="7"/>
      <c r="E182" s="5"/>
      <c r="F182" s="5"/>
      <c r="G182" s="5"/>
      <c r="H182" s="5"/>
      <c r="I182" s="8" t="str">
        <f aca="false">IF(A182="","",IF(OR(E182="",F182="",G182="",H182=""),"Pending",IF(AND(E182="Good",F182="Yes",G182="Yes",H182="Yes"),"Pass","Fail")))</f>
        <v/>
      </c>
      <c r="J182" s="6"/>
    </row>
    <row r="183" customFormat="false" ht="15" hidden="false" customHeight="false" outlineLevel="0" collapsed="false">
      <c r="A183" s="5"/>
      <c r="B183" s="5"/>
      <c r="C183" s="6"/>
      <c r="D183" s="7"/>
      <c r="E183" s="5"/>
      <c r="F183" s="5"/>
      <c r="G183" s="5"/>
      <c r="H183" s="5"/>
      <c r="I183" s="8" t="str">
        <f aca="false">IF(A183="","",IF(OR(E183="",F183="",G183="",H183=""),"Pending",IF(AND(E183="Good",F183="Yes",G183="Yes",H183="Yes"),"Pass","Fail")))</f>
        <v/>
      </c>
      <c r="J183" s="6"/>
    </row>
    <row r="184" customFormat="false" ht="15" hidden="false" customHeight="false" outlineLevel="0" collapsed="false">
      <c r="A184" s="5"/>
      <c r="B184" s="5"/>
      <c r="C184" s="6"/>
      <c r="D184" s="7"/>
      <c r="E184" s="5"/>
      <c r="F184" s="5"/>
      <c r="G184" s="5"/>
      <c r="H184" s="5"/>
      <c r="I184" s="8" t="str">
        <f aca="false">IF(A184="","",IF(OR(E184="",F184="",G184="",H184=""),"Pending",IF(AND(E184="Good",F184="Yes",G184="Yes",H184="Yes"),"Pass","Fail")))</f>
        <v/>
      </c>
      <c r="J184" s="6"/>
    </row>
    <row r="185" customFormat="false" ht="15" hidden="false" customHeight="false" outlineLevel="0" collapsed="false">
      <c r="A185" s="5"/>
      <c r="B185" s="5"/>
      <c r="C185" s="6"/>
      <c r="D185" s="7"/>
      <c r="E185" s="5"/>
      <c r="F185" s="5"/>
      <c r="G185" s="5"/>
      <c r="H185" s="5"/>
      <c r="I185" s="8" t="str">
        <f aca="false">IF(A185="","",IF(OR(E185="",F185="",G185="",H185=""),"Pending",IF(AND(E185="Good",F185="Yes",G185="Yes",H185="Yes"),"Pass","Fail")))</f>
        <v/>
      </c>
      <c r="J185" s="6"/>
    </row>
    <row r="186" customFormat="false" ht="15" hidden="false" customHeight="false" outlineLevel="0" collapsed="false">
      <c r="A186" s="5"/>
      <c r="B186" s="5"/>
      <c r="C186" s="6"/>
      <c r="D186" s="7"/>
      <c r="E186" s="5"/>
      <c r="F186" s="5"/>
      <c r="G186" s="5"/>
      <c r="H186" s="5"/>
      <c r="I186" s="8" t="str">
        <f aca="false">IF(A186="","",IF(OR(E186="",F186="",G186="",H186=""),"Pending",IF(AND(E186="Good",F186="Yes",G186="Yes",H186="Yes"),"Pass","Fail")))</f>
        <v/>
      </c>
      <c r="J186" s="6"/>
    </row>
    <row r="187" customFormat="false" ht="15" hidden="false" customHeight="false" outlineLevel="0" collapsed="false">
      <c r="A187" s="5"/>
      <c r="B187" s="5"/>
      <c r="C187" s="6"/>
      <c r="D187" s="7"/>
      <c r="E187" s="5"/>
      <c r="F187" s="5"/>
      <c r="G187" s="5"/>
      <c r="H187" s="5"/>
      <c r="I187" s="8" t="str">
        <f aca="false">IF(A187="","",IF(OR(E187="",F187="",G187="",H187=""),"Pending",IF(AND(E187="Good",F187="Yes",G187="Yes",H187="Yes"),"Pass","Fail")))</f>
        <v/>
      </c>
      <c r="J187" s="6"/>
    </row>
    <row r="188" customFormat="false" ht="15" hidden="false" customHeight="false" outlineLevel="0" collapsed="false">
      <c r="A188" s="5"/>
      <c r="B188" s="5"/>
      <c r="C188" s="6"/>
      <c r="D188" s="7"/>
      <c r="E188" s="5"/>
      <c r="F188" s="5"/>
      <c r="G188" s="5"/>
      <c r="H188" s="5"/>
      <c r="I188" s="8" t="str">
        <f aca="false">IF(A188="","",IF(OR(E188="",F188="",G188="",H188=""),"Pending",IF(AND(E188="Good",F188="Yes",G188="Yes",H188="Yes"),"Pass","Fail")))</f>
        <v/>
      </c>
      <c r="J188" s="6"/>
    </row>
    <row r="189" customFormat="false" ht="15" hidden="false" customHeight="false" outlineLevel="0" collapsed="false">
      <c r="A189" s="5"/>
      <c r="B189" s="5"/>
      <c r="C189" s="6"/>
      <c r="D189" s="7"/>
      <c r="E189" s="5"/>
      <c r="F189" s="5"/>
      <c r="G189" s="5"/>
      <c r="H189" s="5"/>
      <c r="I189" s="8" t="str">
        <f aca="false">IF(A189="","",IF(OR(E189="",F189="",G189="",H189=""),"Pending",IF(AND(E189="Good",F189="Yes",G189="Yes",H189="Yes"),"Pass","Fail")))</f>
        <v/>
      </c>
      <c r="J189" s="6"/>
    </row>
    <row r="190" customFormat="false" ht="15" hidden="false" customHeight="false" outlineLevel="0" collapsed="false">
      <c r="A190" s="5"/>
      <c r="B190" s="5"/>
      <c r="C190" s="6"/>
      <c r="D190" s="7"/>
      <c r="E190" s="5"/>
      <c r="F190" s="5"/>
      <c r="G190" s="5"/>
      <c r="H190" s="5"/>
      <c r="I190" s="8" t="str">
        <f aca="false">IF(A190="","",IF(OR(E190="",F190="",G190="",H190=""),"Pending",IF(AND(E190="Good",F190="Yes",G190="Yes",H190="Yes"),"Pass","Fail")))</f>
        <v/>
      </c>
      <c r="J190" s="6"/>
    </row>
    <row r="191" customFormat="false" ht="15" hidden="false" customHeight="false" outlineLevel="0" collapsed="false">
      <c r="A191" s="5"/>
      <c r="B191" s="5"/>
      <c r="C191" s="6"/>
      <c r="D191" s="7"/>
      <c r="E191" s="5"/>
      <c r="F191" s="5"/>
      <c r="G191" s="5"/>
      <c r="H191" s="5"/>
      <c r="I191" s="8" t="str">
        <f aca="false">IF(A191="","",IF(OR(E191="",F191="",G191="",H191=""),"Pending",IF(AND(E191="Good",F191="Yes",G191="Yes",H191="Yes"),"Pass","Fail")))</f>
        <v/>
      </c>
      <c r="J191" s="6"/>
    </row>
    <row r="192" customFormat="false" ht="15" hidden="false" customHeight="false" outlineLevel="0" collapsed="false">
      <c r="A192" s="5"/>
      <c r="B192" s="5"/>
      <c r="C192" s="6"/>
      <c r="D192" s="7"/>
      <c r="E192" s="5"/>
      <c r="F192" s="5"/>
      <c r="G192" s="5"/>
      <c r="H192" s="5"/>
      <c r="I192" s="8" t="str">
        <f aca="false">IF(A192="","",IF(OR(E192="",F192="",G192="",H192=""),"Pending",IF(AND(E192="Good",F192="Yes",G192="Yes",H192="Yes"),"Pass","Fail")))</f>
        <v/>
      </c>
      <c r="J192" s="6"/>
    </row>
    <row r="193" customFormat="false" ht="15" hidden="false" customHeight="false" outlineLevel="0" collapsed="false">
      <c r="A193" s="5"/>
      <c r="B193" s="5"/>
      <c r="C193" s="6"/>
      <c r="D193" s="7"/>
      <c r="E193" s="5"/>
      <c r="F193" s="5"/>
      <c r="G193" s="5"/>
      <c r="H193" s="5"/>
      <c r="I193" s="8" t="str">
        <f aca="false">IF(A193="","",IF(OR(E193="",F193="",G193="",H193=""),"Pending",IF(AND(E193="Good",F193="Yes",G193="Yes",H193="Yes"),"Pass","Fail")))</f>
        <v/>
      </c>
      <c r="J193" s="6"/>
    </row>
    <row r="194" customFormat="false" ht="15" hidden="false" customHeight="false" outlineLevel="0" collapsed="false">
      <c r="A194" s="5"/>
      <c r="B194" s="5"/>
      <c r="C194" s="6"/>
      <c r="D194" s="7"/>
      <c r="E194" s="5"/>
      <c r="F194" s="5"/>
      <c r="G194" s="5"/>
      <c r="H194" s="5"/>
      <c r="I194" s="8" t="str">
        <f aca="false">IF(A194="","",IF(OR(E194="",F194="",G194="",H194=""),"Pending",IF(AND(E194="Good",F194="Yes",G194="Yes",H194="Yes"),"Pass","Fail")))</f>
        <v/>
      </c>
      <c r="J194" s="6"/>
    </row>
    <row r="195" customFormat="false" ht="15" hidden="false" customHeight="false" outlineLevel="0" collapsed="false">
      <c r="A195" s="5"/>
      <c r="B195" s="5"/>
      <c r="C195" s="6"/>
      <c r="D195" s="7"/>
      <c r="E195" s="5"/>
      <c r="F195" s="5"/>
      <c r="G195" s="5"/>
      <c r="H195" s="5"/>
      <c r="I195" s="8" t="str">
        <f aca="false">IF(A195="","",IF(OR(E195="",F195="",G195="",H195=""),"Pending",IF(AND(E195="Good",F195="Yes",G195="Yes",H195="Yes"),"Pass","Fail")))</f>
        <v/>
      </c>
      <c r="J195" s="6"/>
    </row>
    <row r="196" customFormat="false" ht="15" hidden="false" customHeight="false" outlineLevel="0" collapsed="false">
      <c r="A196" s="5"/>
      <c r="B196" s="5"/>
      <c r="C196" s="6"/>
      <c r="D196" s="7"/>
      <c r="E196" s="5"/>
      <c r="F196" s="5"/>
      <c r="G196" s="5"/>
      <c r="H196" s="5"/>
      <c r="I196" s="8" t="str">
        <f aca="false">IF(A196="","",IF(OR(E196="",F196="",G196="",H196=""),"Pending",IF(AND(E196="Good",F196="Yes",G196="Yes",H196="Yes"),"Pass","Fail")))</f>
        <v/>
      </c>
      <c r="J196" s="6"/>
    </row>
    <row r="197" customFormat="false" ht="15" hidden="false" customHeight="false" outlineLevel="0" collapsed="false">
      <c r="A197" s="5"/>
      <c r="B197" s="5"/>
      <c r="C197" s="6"/>
      <c r="D197" s="7"/>
      <c r="E197" s="5"/>
      <c r="F197" s="5"/>
      <c r="G197" s="5"/>
      <c r="H197" s="5"/>
      <c r="I197" s="8" t="str">
        <f aca="false">IF(A197="","",IF(OR(E197="",F197="",G197="",H197=""),"Pending",IF(AND(E197="Good",F197="Yes",G197="Yes",H197="Yes"),"Pass","Fail")))</f>
        <v/>
      </c>
      <c r="J197" s="6"/>
    </row>
    <row r="198" customFormat="false" ht="15" hidden="false" customHeight="false" outlineLevel="0" collapsed="false">
      <c r="A198" s="5"/>
      <c r="B198" s="5"/>
      <c r="C198" s="6"/>
      <c r="D198" s="7"/>
      <c r="E198" s="5"/>
      <c r="F198" s="5"/>
      <c r="G198" s="5"/>
      <c r="H198" s="5"/>
      <c r="I198" s="8" t="str">
        <f aca="false">IF(A198="","",IF(OR(E198="",F198="",G198="",H198=""),"Pending",IF(AND(E198="Good",F198="Yes",G198="Yes",H198="Yes"),"Pass","Fail")))</f>
        <v/>
      </c>
      <c r="J198" s="6"/>
    </row>
    <row r="199" customFormat="false" ht="15" hidden="false" customHeight="false" outlineLevel="0" collapsed="false">
      <c r="A199" s="5"/>
      <c r="B199" s="5"/>
      <c r="C199" s="6"/>
      <c r="D199" s="7"/>
      <c r="E199" s="5"/>
      <c r="F199" s="5"/>
      <c r="G199" s="5"/>
      <c r="H199" s="5"/>
      <c r="I199" s="8" t="str">
        <f aca="false">IF(A199="","",IF(OR(E199="",F199="",G199="",H199=""),"Pending",IF(AND(E199="Good",F199="Yes",G199="Yes",H199="Yes"),"Pass","Fail")))</f>
        <v/>
      </c>
      <c r="J199" s="6"/>
    </row>
    <row r="200" customFormat="false" ht="15" hidden="false" customHeight="false" outlineLevel="0" collapsed="false">
      <c r="A200" s="5"/>
      <c r="B200" s="5"/>
      <c r="C200" s="6"/>
      <c r="D200" s="7"/>
      <c r="E200" s="5"/>
      <c r="F200" s="5"/>
      <c r="G200" s="5"/>
      <c r="H200" s="5"/>
      <c r="I200" s="8" t="str">
        <f aca="false">IF(A200="","",IF(OR(E200="",F200="",G200="",H200=""),"Pending",IF(AND(E200="Good",F200="Yes",G200="Yes",H200="Yes"),"Pass","Fail")))</f>
        <v/>
      </c>
      <c r="J200" s="6"/>
    </row>
  </sheetData>
  <autoFilter ref="A1:J200"/>
  <conditionalFormatting sqref="I2:I200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"Pending"</formula>
    </cfRule>
  </conditionalFormatting>
  <conditionalFormatting sqref="E2:H200">
    <cfRule type="expression" priority="5" aboveAverage="0" equalAverage="0" bottom="0" percent="0" rank="0" text="" dxfId="8">
      <formula>OR(E2="Damaged",E2="No")</formula>
    </cfRule>
  </conditionalFormatting>
  <conditionalFormatting sqref="A2:H200">
    <cfRule type="expression" priority="6" aboveAverage="0" equalAverage="0" bottom="0" percent="0" rank="0" text="" dxfId="9">
      <formula>AND($A2&lt;&gt;"",A2="")</formula>
    </cfRule>
  </conditionalFormatting>
  <dataValidations count="4">
    <dataValidation allowBlank="true" error="Choose a value from the dropdown." errorStyle="stop" errorTitle="Invalid entry" operator="between" showDropDown="false" showErrorMessage="true" showInputMessage="false" sqref="B2:B200" type="list">
      <formula1>"Phone,Camera,SD Card,Cable,Accessory"</formula1>
      <formula2>0</formula2>
    </dataValidation>
    <dataValidation allowBlank="true" error="Choose a value from the dropdown." errorStyle="stop" errorTitle="Invalid entry" operator="between" showDropDown="false" showErrorMessage="true" showInputMessage="false" sqref="E2:E200" type="list">
      <formula1>"Good,Minor Damage,Damaged"</formula1>
      <formula2>0</formula2>
    </dataValidation>
    <dataValidation allowBlank="true" error="Choose a value from the dropdown." errorStyle="stop" errorTitle="Invalid entry" operator="between" showDropDown="false" showErrorMessage="true" showInputMessage="false" sqref="F2:H200" type="list">
      <formula1>"Yes,No"</formula1>
      <formula2>0</formula2>
    </dataValidation>
    <dataValidation allowBlank="true" error="Enter a valid date." errorStyle="stop" operator="greaterThan" showDropDown="false" showErrorMessage="true" showInputMessage="false" sqref="D2:D2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4" t="s">
        <v>8</v>
      </c>
      <c r="B1" s="4" t="s">
        <v>9</v>
      </c>
      <c r="C1" s="4" t="s">
        <v>10</v>
      </c>
      <c r="D1" s="4" t="s">
        <v>48</v>
      </c>
      <c r="E1" s="4" t="s">
        <v>49</v>
      </c>
      <c r="F1" s="4" t="s">
        <v>50</v>
      </c>
      <c r="G1" s="4" t="s">
        <v>51</v>
      </c>
    </row>
    <row r="2" customFormat="false" ht="15" hidden="false" customHeight="false" outlineLevel="0" collapsed="false">
      <c r="A2" s="9" t="str">
        <f aca="false">IF('QC Log'!A2="","",'QC Log'!A2)</f>
        <v>DV-001</v>
      </c>
      <c r="B2" s="9" t="str">
        <f aca="false">IF(A2="","",'QC Log'!B2)</f>
        <v>Phone</v>
      </c>
      <c r="C2" s="10" t="str">
        <f aca="false">IF(A2="","",'QC Log'!C2)</f>
        <v>Samsung Galaxy A14</v>
      </c>
      <c r="D2" s="9" t="str">
        <f aca="false">IF(A2="","",'QC Log'!I2)</f>
        <v>Pass</v>
      </c>
      <c r="E2" s="8" t="str">
        <f aca="false">IF(A2="","",IF(D2="Pass","Passed",IF(D2="Fail","Rejected","In QC")))</f>
        <v>Passed</v>
      </c>
      <c r="F2" s="5" t="s">
        <v>52</v>
      </c>
      <c r="G2" s="11" t="n">
        <f aca="false">IF(A2="","",'QC Log'!D2)</f>
        <v>46307</v>
      </c>
    </row>
    <row r="3" customFormat="false" ht="15" hidden="false" customHeight="false" outlineLevel="0" collapsed="false">
      <c r="A3" s="9" t="str">
        <f aca="false">IF('QC Log'!A3="","",'QC Log'!A3)</f>
        <v>DV-002</v>
      </c>
      <c r="B3" s="9" t="str">
        <f aca="false">IF(A3="","",'QC Log'!B3)</f>
        <v>Phone</v>
      </c>
      <c r="C3" s="10" t="str">
        <f aca="false">IF(A3="","",'QC Log'!C3)</f>
        <v>Redmi Note 12</v>
      </c>
      <c r="D3" s="9" t="str">
        <f aca="false">IF(A3="","",'QC Log'!I3)</f>
        <v>Fail</v>
      </c>
      <c r="E3" s="8" t="str">
        <f aca="false">IF(A3="","",IF(D3="Pass","Passed",IF(D3="Fail","Rejected","In QC")))</f>
        <v>Rejected</v>
      </c>
      <c r="F3" s="5" t="s">
        <v>52</v>
      </c>
      <c r="G3" s="11" t="n">
        <f aca="false">IF(A3="","",'QC Log'!D3)</f>
        <v>46307</v>
      </c>
    </row>
    <row r="4" customFormat="false" ht="15" hidden="false" customHeight="false" outlineLevel="0" collapsed="false">
      <c r="A4" s="9" t="str">
        <f aca="false">IF('QC Log'!A4="","",'QC Log'!A4)</f>
        <v>DV-003</v>
      </c>
      <c r="B4" s="9" t="str">
        <f aca="false">IF(A4="","",'QC Log'!B4)</f>
        <v>Camera</v>
      </c>
      <c r="C4" s="10" t="str">
        <f aca="false">IF(A4="","",'QC Log'!C4)</f>
        <v>Canon EOS 1500D</v>
      </c>
      <c r="D4" s="9" t="str">
        <f aca="false">IF(A4="","",'QC Log'!I4)</f>
        <v>Pass</v>
      </c>
      <c r="E4" s="8" t="str">
        <f aca="false">IF(A4="","",IF(D4="Pass","Passed",IF(D4="Fail","Rejected","In QC")))</f>
        <v>Passed</v>
      </c>
      <c r="F4" s="5" t="s">
        <v>53</v>
      </c>
      <c r="G4" s="11" t="n">
        <f aca="false">IF(A4="","",'QC Log'!D4)</f>
        <v>46308</v>
      </c>
    </row>
    <row r="5" customFormat="false" ht="15" hidden="false" customHeight="false" outlineLevel="0" collapsed="false">
      <c r="A5" s="9" t="str">
        <f aca="false">IF('QC Log'!A5="","",'QC Log'!A5)</f>
        <v>DV-004</v>
      </c>
      <c r="B5" s="9" t="str">
        <f aca="false">IF(A5="","",'QC Log'!B5)</f>
        <v>Camera</v>
      </c>
      <c r="C5" s="10" t="str">
        <f aca="false">IF(A5="","",'QC Log'!C5)</f>
        <v>GoPro Hero 9</v>
      </c>
      <c r="D5" s="9" t="str">
        <f aca="false">IF(A5="","",'QC Log'!I5)</f>
        <v>Fail</v>
      </c>
      <c r="E5" s="8" t="str">
        <f aca="false">IF(A5="","",IF(D5="Pass","Passed",IF(D5="Fail","Rejected","In QC")))</f>
        <v>Rejected</v>
      </c>
      <c r="F5" s="5" t="s">
        <v>53</v>
      </c>
      <c r="G5" s="11" t="n">
        <f aca="false">IF(A5="","",'QC Log'!D5)</f>
        <v>46308</v>
      </c>
    </row>
    <row r="6" customFormat="false" ht="15" hidden="false" customHeight="false" outlineLevel="0" collapsed="false">
      <c r="A6" s="9" t="str">
        <f aca="false">IF('QC Log'!A6="","",'QC Log'!A6)</f>
        <v>DV-005</v>
      </c>
      <c r="B6" s="9" t="str">
        <f aca="false">IF(A6="","",'QC Log'!B6)</f>
        <v>SD Card</v>
      </c>
      <c r="C6" s="10" t="str">
        <f aca="false">IF(A6="","",'QC Log'!C6)</f>
        <v>SanDisk 64GB</v>
      </c>
      <c r="D6" s="9" t="str">
        <f aca="false">IF(A6="","",'QC Log'!I6)</f>
        <v>Pass</v>
      </c>
      <c r="E6" s="8" t="str">
        <f aca="false">IF(A6="","",IF(D6="Pass","Passed",IF(D6="Fail","Rejected","In QC")))</f>
        <v>Passed</v>
      </c>
      <c r="F6" s="5" t="s">
        <v>54</v>
      </c>
      <c r="G6" s="11" t="n">
        <f aca="false">IF(A6="","",'QC Log'!D6)</f>
        <v>46309</v>
      </c>
    </row>
    <row r="7" customFormat="false" ht="15" hidden="false" customHeight="false" outlineLevel="0" collapsed="false">
      <c r="A7" s="9" t="str">
        <f aca="false">IF('QC Log'!A7="","",'QC Log'!A7)</f>
        <v>DV-006</v>
      </c>
      <c r="B7" s="9" t="str">
        <f aca="false">IF(A7="","",'QC Log'!B7)</f>
        <v>SD Card</v>
      </c>
      <c r="C7" s="10" t="str">
        <f aca="false">IF(A7="","",'QC Log'!C7)</f>
        <v>Kingston 32GB</v>
      </c>
      <c r="D7" s="9" t="str">
        <f aca="false">IF(A7="","",'QC Log'!I7)</f>
        <v>Pass</v>
      </c>
      <c r="E7" s="8" t="str">
        <f aca="false">IF(A7="","",IF(D7="Pass","Passed",IF(D7="Fail","Rejected","In QC")))</f>
        <v>Passed</v>
      </c>
      <c r="F7" s="5" t="s">
        <v>54</v>
      </c>
      <c r="G7" s="11" t="n">
        <f aca="false">IF(A7="","",'QC Log'!D7)</f>
        <v>46309</v>
      </c>
    </row>
    <row r="8" customFormat="false" ht="15" hidden="false" customHeight="false" outlineLevel="0" collapsed="false">
      <c r="A8" s="9" t="str">
        <f aca="false">IF('QC Log'!A8="","",'QC Log'!A8)</f>
        <v>DV-007</v>
      </c>
      <c r="B8" s="9" t="str">
        <f aca="false">IF(A8="","",'QC Log'!B8)</f>
        <v>Cable</v>
      </c>
      <c r="C8" s="10" t="str">
        <f aca="false">IF(A8="","",'QC Log'!C8)</f>
        <v>USB-C to USB-A</v>
      </c>
      <c r="D8" s="9" t="str">
        <f aca="false">IF(A8="","",'QC Log'!I8)</f>
        <v>Fail</v>
      </c>
      <c r="E8" s="8" t="str">
        <f aca="false">IF(A8="","",IF(D8="Pass","Passed",IF(D8="Fail","Rejected","In QC")))</f>
        <v>Rejected</v>
      </c>
      <c r="F8" s="5" t="s">
        <v>55</v>
      </c>
      <c r="G8" s="11" t="n">
        <f aca="false">IF(A8="","",'QC Log'!D8)</f>
        <v>46309</v>
      </c>
    </row>
    <row r="9" customFormat="false" ht="15" hidden="false" customHeight="false" outlineLevel="0" collapsed="false">
      <c r="A9" s="9" t="str">
        <f aca="false">IF('QC Log'!A9="","",'QC Log'!A9)</f>
        <v>DV-008</v>
      </c>
      <c r="B9" s="9" t="str">
        <f aca="false">IF(A9="","",'QC Log'!B9)</f>
        <v>Accessory</v>
      </c>
      <c r="C9" s="10" t="str">
        <f aca="false">IF(A9="","",'QC Log'!C9)</f>
        <v>Tripod Stand</v>
      </c>
      <c r="D9" s="9" t="str">
        <f aca="false">IF(A9="","",'QC Log'!I9)</f>
        <v>Fail</v>
      </c>
      <c r="E9" s="8" t="str">
        <f aca="false">IF(A9="","",IF(D9="Pass","Passed",IF(D9="Fail","Rejected","In QC")))</f>
        <v>Rejected</v>
      </c>
      <c r="F9" s="5" t="s">
        <v>56</v>
      </c>
      <c r="G9" s="11" t="n">
        <f aca="false">IF(A9="","",'QC Log'!D9)</f>
        <v>46310</v>
      </c>
    </row>
    <row r="10" customFormat="false" ht="15" hidden="false" customHeight="false" outlineLevel="0" collapsed="false">
      <c r="A10" s="9" t="str">
        <f aca="false">IF('QC Log'!A10="","",'QC Log'!A10)</f>
        <v/>
      </c>
      <c r="B10" s="9" t="str">
        <f aca="false">IF(A10="","",'QC Log'!B10)</f>
        <v/>
      </c>
      <c r="C10" s="10" t="str">
        <f aca="false">IF(A10="","",'QC Log'!C10)</f>
        <v/>
      </c>
      <c r="D10" s="9" t="str">
        <f aca="false">IF(A10="","",'QC Log'!I10)</f>
        <v/>
      </c>
      <c r="E10" s="8" t="str">
        <f aca="false">IF(A10="","",IF(D10="Pass","Passed",IF(D10="Fail","Rejected","In QC")))</f>
        <v/>
      </c>
      <c r="F10" s="5"/>
      <c r="G10" s="11" t="str">
        <f aca="false">IF(A10="","",'QC Log'!D10)</f>
        <v/>
      </c>
    </row>
    <row r="11" customFormat="false" ht="15" hidden="false" customHeight="false" outlineLevel="0" collapsed="false">
      <c r="A11" s="9" t="str">
        <f aca="false">IF('QC Log'!A11="","",'QC Log'!A11)</f>
        <v/>
      </c>
      <c r="B11" s="9" t="str">
        <f aca="false">IF(A11="","",'QC Log'!B11)</f>
        <v/>
      </c>
      <c r="C11" s="10" t="str">
        <f aca="false">IF(A11="","",'QC Log'!C11)</f>
        <v/>
      </c>
      <c r="D11" s="9" t="str">
        <f aca="false">IF(A11="","",'QC Log'!I11)</f>
        <v/>
      </c>
      <c r="E11" s="8" t="str">
        <f aca="false">IF(A11="","",IF(D11="Pass","Passed",IF(D11="Fail","Rejected","In QC")))</f>
        <v/>
      </c>
      <c r="F11" s="5"/>
      <c r="G11" s="11" t="str">
        <f aca="false">IF(A11="","",'QC Log'!D11)</f>
        <v/>
      </c>
    </row>
    <row r="12" customFormat="false" ht="15" hidden="false" customHeight="false" outlineLevel="0" collapsed="false">
      <c r="A12" s="9" t="str">
        <f aca="false">IF('QC Log'!A12="","",'QC Log'!A12)</f>
        <v/>
      </c>
      <c r="B12" s="9" t="str">
        <f aca="false">IF(A12="","",'QC Log'!B12)</f>
        <v/>
      </c>
      <c r="C12" s="10" t="str">
        <f aca="false">IF(A12="","",'QC Log'!C12)</f>
        <v/>
      </c>
      <c r="D12" s="9" t="str">
        <f aca="false">IF(A12="","",'QC Log'!I12)</f>
        <v/>
      </c>
      <c r="E12" s="8" t="str">
        <f aca="false">IF(A12="","",IF(D12="Pass","Passed",IF(D12="Fail","Rejected","In QC")))</f>
        <v/>
      </c>
      <c r="F12" s="5"/>
      <c r="G12" s="11" t="str">
        <f aca="false">IF(A12="","",'QC Log'!D12)</f>
        <v/>
      </c>
    </row>
    <row r="13" customFormat="false" ht="15" hidden="false" customHeight="false" outlineLevel="0" collapsed="false">
      <c r="A13" s="9" t="str">
        <f aca="false">IF('QC Log'!A13="","",'QC Log'!A13)</f>
        <v/>
      </c>
      <c r="B13" s="9" t="str">
        <f aca="false">IF(A13="","",'QC Log'!B13)</f>
        <v/>
      </c>
      <c r="C13" s="10" t="str">
        <f aca="false">IF(A13="","",'QC Log'!C13)</f>
        <v/>
      </c>
      <c r="D13" s="9" t="str">
        <f aca="false">IF(A13="","",'QC Log'!I13)</f>
        <v/>
      </c>
      <c r="E13" s="8" t="str">
        <f aca="false">IF(A13="","",IF(D13="Pass","Passed",IF(D13="Fail","Rejected","In QC")))</f>
        <v/>
      </c>
      <c r="F13" s="5"/>
      <c r="G13" s="11" t="str">
        <f aca="false">IF(A13="","",'QC Log'!D13)</f>
        <v/>
      </c>
    </row>
    <row r="14" customFormat="false" ht="15" hidden="false" customHeight="false" outlineLevel="0" collapsed="false">
      <c r="A14" s="9" t="str">
        <f aca="false">IF('QC Log'!A14="","",'QC Log'!A14)</f>
        <v/>
      </c>
      <c r="B14" s="9" t="str">
        <f aca="false">IF(A14="","",'QC Log'!B14)</f>
        <v/>
      </c>
      <c r="C14" s="10" t="str">
        <f aca="false">IF(A14="","",'QC Log'!C14)</f>
        <v/>
      </c>
      <c r="D14" s="9" t="str">
        <f aca="false">IF(A14="","",'QC Log'!I14)</f>
        <v/>
      </c>
      <c r="E14" s="8" t="str">
        <f aca="false">IF(A14="","",IF(D14="Pass","Passed",IF(D14="Fail","Rejected","In QC")))</f>
        <v/>
      </c>
      <c r="F14" s="5"/>
      <c r="G14" s="11" t="str">
        <f aca="false">IF(A14="","",'QC Log'!D14)</f>
        <v/>
      </c>
    </row>
    <row r="15" customFormat="false" ht="15" hidden="false" customHeight="false" outlineLevel="0" collapsed="false">
      <c r="A15" s="9" t="str">
        <f aca="false">IF('QC Log'!A15="","",'QC Log'!A15)</f>
        <v/>
      </c>
      <c r="B15" s="9" t="str">
        <f aca="false">IF(A15="","",'QC Log'!B15)</f>
        <v/>
      </c>
      <c r="C15" s="10" t="str">
        <f aca="false">IF(A15="","",'QC Log'!C15)</f>
        <v/>
      </c>
      <c r="D15" s="9" t="str">
        <f aca="false">IF(A15="","",'QC Log'!I15)</f>
        <v/>
      </c>
      <c r="E15" s="8" t="str">
        <f aca="false">IF(A15="","",IF(D15="Pass","Passed",IF(D15="Fail","Rejected","In QC")))</f>
        <v/>
      </c>
      <c r="F15" s="5"/>
      <c r="G15" s="11" t="str">
        <f aca="false">IF(A15="","",'QC Log'!D15)</f>
        <v/>
      </c>
    </row>
    <row r="16" customFormat="false" ht="15" hidden="false" customHeight="false" outlineLevel="0" collapsed="false">
      <c r="A16" s="9" t="str">
        <f aca="false">IF('QC Log'!A16="","",'QC Log'!A16)</f>
        <v/>
      </c>
      <c r="B16" s="9" t="str">
        <f aca="false">IF(A16="","",'QC Log'!B16)</f>
        <v/>
      </c>
      <c r="C16" s="10" t="str">
        <f aca="false">IF(A16="","",'QC Log'!C16)</f>
        <v/>
      </c>
      <c r="D16" s="9" t="str">
        <f aca="false">IF(A16="","",'QC Log'!I16)</f>
        <v/>
      </c>
      <c r="E16" s="8" t="str">
        <f aca="false">IF(A16="","",IF(D16="Pass","Passed",IF(D16="Fail","Rejected","In QC")))</f>
        <v/>
      </c>
      <c r="F16" s="5"/>
      <c r="G16" s="11" t="str">
        <f aca="false">IF(A16="","",'QC Log'!D16)</f>
        <v/>
      </c>
    </row>
    <row r="17" customFormat="false" ht="15" hidden="false" customHeight="false" outlineLevel="0" collapsed="false">
      <c r="A17" s="9" t="str">
        <f aca="false">IF('QC Log'!A17="","",'QC Log'!A17)</f>
        <v/>
      </c>
      <c r="B17" s="9" t="str">
        <f aca="false">IF(A17="","",'QC Log'!B17)</f>
        <v/>
      </c>
      <c r="C17" s="10" t="str">
        <f aca="false">IF(A17="","",'QC Log'!C17)</f>
        <v/>
      </c>
      <c r="D17" s="9" t="str">
        <f aca="false">IF(A17="","",'QC Log'!I17)</f>
        <v/>
      </c>
      <c r="E17" s="8" t="str">
        <f aca="false">IF(A17="","",IF(D17="Pass","Passed",IF(D17="Fail","Rejected","In QC")))</f>
        <v/>
      </c>
      <c r="F17" s="5"/>
      <c r="G17" s="11" t="str">
        <f aca="false">IF(A17="","",'QC Log'!D17)</f>
        <v/>
      </c>
    </row>
    <row r="18" customFormat="false" ht="15" hidden="false" customHeight="false" outlineLevel="0" collapsed="false">
      <c r="A18" s="9" t="str">
        <f aca="false">IF('QC Log'!A18="","",'QC Log'!A18)</f>
        <v/>
      </c>
      <c r="B18" s="9" t="str">
        <f aca="false">IF(A18="","",'QC Log'!B18)</f>
        <v/>
      </c>
      <c r="C18" s="10" t="str">
        <f aca="false">IF(A18="","",'QC Log'!C18)</f>
        <v/>
      </c>
      <c r="D18" s="9" t="str">
        <f aca="false">IF(A18="","",'QC Log'!I18)</f>
        <v/>
      </c>
      <c r="E18" s="8" t="str">
        <f aca="false">IF(A18="","",IF(D18="Pass","Passed",IF(D18="Fail","Rejected","In QC")))</f>
        <v/>
      </c>
      <c r="F18" s="5"/>
      <c r="G18" s="11" t="str">
        <f aca="false">IF(A18="","",'QC Log'!D18)</f>
        <v/>
      </c>
    </row>
    <row r="19" customFormat="false" ht="15" hidden="false" customHeight="false" outlineLevel="0" collapsed="false">
      <c r="A19" s="9" t="str">
        <f aca="false">IF('QC Log'!A19="","",'QC Log'!A19)</f>
        <v/>
      </c>
      <c r="B19" s="9" t="str">
        <f aca="false">IF(A19="","",'QC Log'!B19)</f>
        <v/>
      </c>
      <c r="C19" s="10" t="str">
        <f aca="false">IF(A19="","",'QC Log'!C19)</f>
        <v/>
      </c>
      <c r="D19" s="9" t="str">
        <f aca="false">IF(A19="","",'QC Log'!I19)</f>
        <v/>
      </c>
      <c r="E19" s="8" t="str">
        <f aca="false">IF(A19="","",IF(D19="Pass","Passed",IF(D19="Fail","Rejected","In QC")))</f>
        <v/>
      </c>
      <c r="F19" s="5"/>
      <c r="G19" s="11" t="str">
        <f aca="false">IF(A19="","",'QC Log'!D19)</f>
        <v/>
      </c>
    </row>
    <row r="20" customFormat="false" ht="15" hidden="false" customHeight="false" outlineLevel="0" collapsed="false">
      <c r="A20" s="9" t="str">
        <f aca="false">IF('QC Log'!A20="","",'QC Log'!A20)</f>
        <v/>
      </c>
      <c r="B20" s="9" t="str">
        <f aca="false">IF(A20="","",'QC Log'!B20)</f>
        <v/>
      </c>
      <c r="C20" s="10" t="str">
        <f aca="false">IF(A20="","",'QC Log'!C20)</f>
        <v/>
      </c>
      <c r="D20" s="9" t="str">
        <f aca="false">IF(A20="","",'QC Log'!I20)</f>
        <v/>
      </c>
      <c r="E20" s="8" t="str">
        <f aca="false">IF(A20="","",IF(D20="Pass","Passed",IF(D20="Fail","Rejected","In QC")))</f>
        <v/>
      </c>
      <c r="F20" s="5"/>
      <c r="G20" s="11" t="str">
        <f aca="false">IF(A20="","",'QC Log'!D20)</f>
        <v/>
      </c>
    </row>
    <row r="21" customFormat="false" ht="15" hidden="false" customHeight="false" outlineLevel="0" collapsed="false">
      <c r="A21" s="9" t="str">
        <f aca="false">IF('QC Log'!A21="","",'QC Log'!A21)</f>
        <v/>
      </c>
      <c r="B21" s="9" t="str">
        <f aca="false">IF(A21="","",'QC Log'!B21)</f>
        <v/>
      </c>
      <c r="C21" s="10" t="str">
        <f aca="false">IF(A21="","",'QC Log'!C21)</f>
        <v/>
      </c>
      <c r="D21" s="9" t="str">
        <f aca="false">IF(A21="","",'QC Log'!I21)</f>
        <v/>
      </c>
      <c r="E21" s="8" t="str">
        <f aca="false">IF(A21="","",IF(D21="Pass","Passed",IF(D21="Fail","Rejected","In QC")))</f>
        <v/>
      </c>
      <c r="F21" s="5"/>
      <c r="G21" s="11" t="str">
        <f aca="false">IF(A21="","",'QC Log'!D21)</f>
        <v/>
      </c>
    </row>
    <row r="22" customFormat="false" ht="15" hidden="false" customHeight="false" outlineLevel="0" collapsed="false">
      <c r="A22" s="9" t="str">
        <f aca="false">IF('QC Log'!A22="","",'QC Log'!A22)</f>
        <v/>
      </c>
      <c r="B22" s="9" t="str">
        <f aca="false">IF(A22="","",'QC Log'!B22)</f>
        <v/>
      </c>
      <c r="C22" s="10" t="str">
        <f aca="false">IF(A22="","",'QC Log'!C22)</f>
        <v/>
      </c>
      <c r="D22" s="9" t="str">
        <f aca="false">IF(A22="","",'QC Log'!I22)</f>
        <v/>
      </c>
      <c r="E22" s="8" t="str">
        <f aca="false">IF(A22="","",IF(D22="Pass","Passed",IF(D22="Fail","Rejected","In QC")))</f>
        <v/>
      </c>
      <c r="F22" s="5"/>
      <c r="G22" s="11" t="str">
        <f aca="false">IF(A22="","",'QC Log'!D22)</f>
        <v/>
      </c>
    </row>
    <row r="23" customFormat="false" ht="15" hidden="false" customHeight="false" outlineLevel="0" collapsed="false">
      <c r="A23" s="9" t="str">
        <f aca="false">IF('QC Log'!A23="","",'QC Log'!A23)</f>
        <v/>
      </c>
      <c r="B23" s="9" t="str">
        <f aca="false">IF(A23="","",'QC Log'!B23)</f>
        <v/>
      </c>
      <c r="C23" s="10" t="str">
        <f aca="false">IF(A23="","",'QC Log'!C23)</f>
        <v/>
      </c>
      <c r="D23" s="9" t="str">
        <f aca="false">IF(A23="","",'QC Log'!I23)</f>
        <v/>
      </c>
      <c r="E23" s="8" t="str">
        <f aca="false">IF(A23="","",IF(D23="Pass","Passed",IF(D23="Fail","Rejected","In QC")))</f>
        <v/>
      </c>
      <c r="F23" s="5"/>
      <c r="G23" s="11" t="str">
        <f aca="false">IF(A23="","",'QC Log'!D23)</f>
        <v/>
      </c>
    </row>
    <row r="24" customFormat="false" ht="15" hidden="false" customHeight="false" outlineLevel="0" collapsed="false">
      <c r="A24" s="9" t="str">
        <f aca="false">IF('QC Log'!A24="","",'QC Log'!A24)</f>
        <v/>
      </c>
      <c r="B24" s="9" t="str">
        <f aca="false">IF(A24="","",'QC Log'!B24)</f>
        <v/>
      </c>
      <c r="C24" s="10" t="str">
        <f aca="false">IF(A24="","",'QC Log'!C24)</f>
        <v/>
      </c>
      <c r="D24" s="9" t="str">
        <f aca="false">IF(A24="","",'QC Log'!I24)</f>
        <v/>
      </c>
      <c r="E24" s="8" t="str">
        <f aca="false">IF(A24="","",IF(D24="Pass","Passed",IF(D24="Fail","Rejected","In QC")))</f>
        <v/>
      </c>
      <c r="F24" s="5"/>
      <c r="G24" s="11" t="str">
        <f aca="false">IF(A24="","",'QC Log'!D24)</f>
        <v/>
      </c>
    </row>
    <row r="25" customFormat="false" ht="15" hidden="false" customHeight="false" outlineLevel="0" collapsed="false">
      <c r="A25" s="9" t="str">
        <f aca="false">IF('QC Log'!A25="","",'QC Log'!A25)</f>
        <v/>
      </c>
      <c r="B25" s="9" t="str">
        <f aca="false">IF(A25="","",'QC Log'!B25)</f>
        <v/>
      </c>
      <c r="C25" s="10" t="str">
        <f aca="false">IF(A25="","",'QC Log'!C25)</f>
        <v/>
      </c>
      <c r="D25" s="9" t="str">
        <f aca="false">IF(A25="","",'QC Log'!I25)</f>
        <v/>
      </c>
      <c r="E25" s="8" t="str">
        <f aca="false">IF(A25="","",IF(D25="Pass","Passed",IF(D25="Fail","Rejected","In QC")))</f>
        <v/>
      </c>
      <c r="F25" s="5"/>
      <c r="G25" s="11" t="str">
        <f aca="false">IF(A25="","",'QC Log'!D25)</f>
        <v/>
      </c>
    </row>
    <row r="26" customFormat="false" ht="15" hidden="false" customHeight="false" outlineLevel="0" collapsed="false">
      <c r="A26" s="9" t="str">
        <f aca="false">IF('QC Log'!A26="","",'QC Log'!A26)</f>
        <v/>
      </c>
      <c r="B26" s="9" t="str">
        <f aca="false">IF(A26="","",'QC Log'!B26)</f>
        <v/>
      </c>
      <c r="C26" s="10" t="str">
        <f aca="false">IF(A26="","",'QC Log'!C26)</f>
        <v/>
      </c>
      <c r="D26" s="9" t="str">
        <f aca="false">IF(A26="","",'QC Log'!I26)</f>
        <v/>
      </c>
      <c r="E26" s="8" t="str">
        <f aca="false">IF(A26="","",IF(D26="Pass","Passed",IF(D26="Fail","Rejected","In QC")))</f>
        <v/>
      </c>
      <c r="F26" s="5"/>
      <c r="G26" s="11" t="str">
        <f aca="false">IF(A26="","",'QC Log'!D26)</f>
        <v/>
      </c>
    </row>
    <row r="27" customFormat="false" ht="15" hidden="false" customHeight="false" outlineLevel="0" collapsed="false">
      <c r="A27" s="9" t="str">
        <f aca="false">IF('QC Log'!A27="","",'QC Log'!A27)</f>
        <v/>
      </c>
      <c r="B27" s="9" t="str">
        <f aca="false">IF(A27="","",'QC Log'!B27)</f>
        <v/>
      </c>
      <c r="C27" s="10" t="str">
        <f aca="false">IF(A27="","",'QC Log'!C27)</f>
        <v/>
      </c>
      <c r="D27" s="9" t="str">
        <f aca="false">IF(A27="","",'QC Log'!I27)</f>
        <v/>
      </c>
      <c r="E27" s="8" t="str">
        <f aca="false">IF(A27="","",IF(D27="Pass","Passed",IF(D27="Fail","Rejected","In QC")))</f>
        <v/>
      </c>
      <c r="F27" s="5"/>
      <c r="G27" s="11" t="str">
        <f aca="false">IF(A27="","",'QC Log'!D27)</f>
        <v/>
      </c>
    </row>
    <row r="28" customFormat="false" ht="15" hidden="false" customHeight="false" outlineLevel="0" collapsed="false">
      <c r="A28" s="9" t="str">
        <f aca="false">IF('QC Log'!A28="","",'QC Log'!A28)</f>
        <v/>
      </c>
      <c r="B28" s="9" t="str">
        <f aca="false">IF(A28="","",'QC Log'!B28)</f>
        <v/>
      </c>
      <c r="C28" s="10" t="str">
        <f aca="false">IF(A28="","",'QC Log'!C28)</f>
        <v/>
      </c>
      <c r="D28" s="9" t="str">
        <f aca="false">IF(A28="","",'QC Log'!I28)</f>
        <v/>
      </c>
      <c r="E28" s="8" t="str">
        <f aca="false">IF(A28="","",IF(D28="Pass","Passed",IF(D28="Fail","Rejected","In QC")))</f>
        <v/>
      </c>
      <c r="F28" s="5"/>
      <c r="G28" s="11" t="str">
        <f aca="false">IF(A28="","",'QC Log'!D28)</f>
        <v/>
      </c>
    </row>
    <row r="29" customFormat="false" ht="15" hidden="false" customHeight="false" outlineLevel="0" collapsed="false">
      <c r="A29" s="9" t="str">
        <f aca="false">IF('QC Log'!A29="","",'QC Log'!A29)</f>
        <v/>
      </c>
      <c r="B29" s="9" t="str">
        <f aca="false">IF(A29="","",'QC Log'!B29)</f>
        <v/>
      </c>
      <c r="C29" s="10" t="str">
        <f aca="false">IF(A29="","",'QC Log'!C29)</f>
        <v/>
      </c>
      <c r="D29" s="9" t="str">
        <f aca="false">IF(A29="","",'QC Log'!I29)</f>
        <v/>
      </c>
      <c r="E29" s="8" t="str">
        <f aca="false">IF(A29="","",IF(D29="Pass","Passed",IF(D29="Fail","Rejected","In QC")))</f>
        <v/>
      </c>
      <c r="F29" s="5"/>
      <c r="G29" s="11" t="str">
        <f aca="false">IF(A29="","",'QC Log'!D29)</f>
        <v/>
      </c>
    </row>
    <row r="30" customFormat="false" ht="15" hidden="false" customHeight="false" outlineLevel="0" collapsed="false">
      <c r="A30" s="9" t="str">
        <f aca="false">IF('QC Log'!A30="","",'QC Log'!A30)</f>
        <v/>
      </c>
      <c r="B30" s="9" t="str">
        <f aca="false">IF(A30="","",'QC Log'!B30)</f>
        <v/>
      </c>
      <c r="C30" s="10" t="str">
        <f aca="false">IF(A30="","",'QC Log'!C30)</f>
        <v/>
      </c>
      <c r="D30" s="9" t="str">
        <f aca="false">IF(A30="","",'QC Log'!I30)</f>
        <v/>
      </c>
      <c r="E30" s="8" t="str">
        <f aca="false">IF(A30="","",IF(D30="Pass","Passed",IF(D30="Fail","Rejected","In QC")))</f>
        <v/>
      </c>
      <c r="F30" s="5"/>
      <c r="G30" s="11" t="str">
        <f aca="false">IF(A30="","",'QC Log'!D30)</f>
        <v/>
      </c>
    </row>
    <row r="31" customFormat="false" ht="15" hidden="false" customHeight="false" outlineLevel="0" collapsed="false">
      <c r="A31" s="9" t="str">
        <f aca="false">IF('QC Log'!A31="","",'QC Log'!A31)</f>
        <v/>
      </c>
      <c r="B31" s="9" t="str">
        <f aca="false">IF(A31="","",'QC Log'!B31)</f>
        <v/>
      </c>
      <c r="C31" s="10" t="str">
        <f aca="false">IF(A31="","",'QC Log'!C31)</f>
        <v/>
      </c>
      <c r="D31" s="9" t="str">
        <f aca="false">IF(A31="","",'QC Log'!I31)</f>
        <v/>
      </c>
      <c r="E31" s="8" t="str">
        <f aca="false">IF(A31="","",IF(D31="Pass","Passed",IF(D31="Fail","Rejected","In QC")))</f>
        <v/>
      </c>
      <c r="F31" s="5"/>
      <c r="G31" s="11" t="str">
        <f aca="false">IF(A31="","",'QC Log'!D31)</f>
        <v/>
      </c>
    </row>
    <row r="32" customFormat="false" ht="15" hidden="false" customHeight="false" outlineLevel="0" collapsed="false">
      <c r="A32" s="9" t="str">
        <f aca="false">IF('QC Log'!A32="","",'QC Log'!A32)</f>
        <v/>
      </c>
      <c r="B32" s="9" t="str">
        <f aca="false">IF(A32="","",'QC Log'!B32)</f>
        <v/>
      </c>
      <c r="C32" s="10" t="str">
        <f aca="false">IF(A32="","",'QC Log'!C32)</f>
        <v/>
      </c>
      <c r="D32" s="9" t="str">
        <f aca="false">IF(A32="","",'QC Log'!I32)</f>
        <v/>
      </c>
      <c r="E32" s="8" t="str">
        <f aca="false">IF(A32="","",IF(D32="Pass","Passed",IF(D32="Fail","Rejected","In QC")))</f>
        <v/>
      </c>
      <c r="F32" s="5"/>
      <c r="G32" s="11" t="str">
        <f aca="false">IF(A32="","",'QC Log'!D32)</f>
        <v/>
      </c>
    </row>
    <row r="33" customFormat="false" ht="15" hidden="false" customHeight="false" outlineLevel="0" collapsed="false">
      <c r="A33" s="9" t="str">
        <f aca="false">IF('QC Log'!A33="","",'QC Log'!A33)</f>
        <v/>
      </c>
      <c r="B33" s="9" t="str">
        <f aca="false">IF(A33="","",'QC Log'!B33)</f>
        <v/>
      </c>
      <c r="C33" s="10" t="str">
        <f aca="false">IF(A33="","",'QC Log'!C33)</f>
        <v/>
      </c>
      <c r="D33" s="9" t="str">
        <f aca="false">IF(A33="","",'QC Log'!I33)</f>
        <v/>
      </c>
      <c r="E33" s="8" t="str">
        <f aca="false">IF(A33="","",IF(D33="Pass","Passed",IF(D33="Fail","Rejected","In QC")))</f>
        <v/>
      </c>
      <c r="F33" s="5"/>
      <c r="G33" s="11" t="str">
        <f aca="false">IF(A33="","",'QC Log'!D33)</f>
        <v/>
      </c>
    </row>
    <row r="34" customFormat="false" ht="15" hidden="false" customHeight="false" outlineLevel="0" collapsed="false">
      <c r="A34" s="9" t="str">
        <f aca="false">IF('QC Log'!A34="","",'QC Log'!A34)</f>
        <v/>
      </c>
      <c r="B34" s="9" t="str">
        <f aca="false">IF(A34="","",'QC Log'!B34)</f>
        <v/>
      </c>
      <c r="C34" s="10" t="str">
        <f aca="false">IF(A34="","",'QC Log'!C34)</f>
        <v/>
      </c>
      <c r="D34" s="9" t="str">
        <f aca="false">IF(A34="","",'QC Log'!I34)</f>
        <v/>
      </c>
      <c r="E34" s="8" t="str">
        <f aca="false">IF(A34="","",IF(D34="Pass","Passed",IF(D34="Fail","Rejected","In QC")))</f>
        <v/>
      </c>
      <c r="F34" s="5"/>
      <c r="G34" s="11" t="str">
        <f aca="false">IF(A34="","",'QC Log'!D34)</f>
        <v/>
      </c>
    </row>
    <row r="35" customFormat="false" ht="15" hidden="false" customHeight="false" outlineLevel="0" collapsed="false">
      <c r="A35" s="9" t="str">
        <f aca="false">IF('QC Log'!A35="","",'QC Log'!A35)</f>
        <v/>
      </c>
      <c r="B35" s="9" t="str">
        <f aca="false">IF(A35="","",'QC Log'!B35)</f>
        <v/>
      </c>
      <c r="C35" s="10" t="str">
        <f aca="false">IF(A35="","",'QC Log'!C35)</f>
        <v/>
      </c>
      <c r="D35" s="9" t="str">
        <f aca="false">IF(A35="","",'QC Log'!I35)</f>
        <v/>
      </c>
      <c r="E35" s="8" t="str">
        <f aca="false">IF(A35="","",IF(D35="Pass","Passed",IF(D35="Fail","Rejected","In QC")))</f>
        <v/>
      </c>
      <c r="F35" s="5"/>
      <c r="G35" s="11" t="str">
        <f aca="false">IF(A35="","",'QC Log'!D35)</f>
        <v/>
      </c>
    </row>
    <row r="36" customFormat="false" ht="15" hidden="false" customHeight="false" outlineLevel="0" collapsed="false">
      <c r="A36" s="9" t="str">
        <f aca="false">IF('QC Log'!A36="","",'QC Log'!A36)</f>
        <v/>
      </c>
      <c r="B36" s="9" t="str">
        <f aca="false">IF(A36="","",'QC Log'!B36)</f>
        <v/>
      </c>
      <c r="C36" s="10" t="str">
        <f aca="false">IF(A36="","",'QC Log'!C36)</f>
        <v/>
      </c>
      <c r="D36" s="9" t="str">
        <f aca="false">IF(A36="","",'QC Log'!I36)</f>
        <v/>
      </c>
      <c r="E36" s="8" t="str">
        <f aca="false">IF(A36="","",IF(D36="Pass","Passed",IF(D36="Fail","Rejected","In QC")))</f>
        <v/>
      </c>
      <c r="F36" s="5"/>
      <c r="G36" s="11" t="str">
        <f aca="false">IF(A36="","",'QC Log'!D36)</f>
        <v/>
      </c>
    </row>
    <row r="37" customFormat="false" ht="15" hidden="false" customHeight="false" outlineLevel="0" collapsed="false">
      <c r="A37" s="9" t="str">
        <f aca="false">IF('QC Log'!A37="","",'QC Log'!A37)</f>
        <v/>
      </c>
      <c r="B37" s="9" t="str">
        <f aca="false">IF(A37="","",'QC Log'!B37)</f>
        <v/>
      </c>
      <c r="C37" s="10" t="str">
        <f aca="false">IF(A37="","",'QC Log'!C37)</f>
        <v/>
      </c>
      <c r="D37" s="9" t="str">
        <f aca="false">IF(A37="","",'QC Log'!I37)</f>
        <v/>
      </c>
      <c r="E37" s="8" t="str">
        <f aca="false">IF(A37="","",IF(D37="Pass","Passed",IF(D37="Fail","Rejected","In QC")))</f>
        <v/>
      </c>
      <c r="F37" s="5"/>
      <c r="G37" s="11" t="str">
        <f aca="false">IF(A37="","",'QC Log'!D37)</f>
        <v/>
      </c>
    </row>
    <row r="38" customFormat="false" ht="15" hidden="false" customHeight="false" outlineLevel="0" collapsed="false">
      <c r="A38" s="9" t="str">
        <f aca="false">IF('QC Log'!A38="","",'QC Log'!A38)</f>
        <v/>
      </c>
      <c r="B38" s="9" t="str">
        <f aca="false">IF(A38="","",'QC Log'!B38)</f>
        <v/>
      </c>
      <c r="C38" s="10" t="str">
        <f aca="false">IF(A38="","",'QC Log'!C38)</f>
        <v/>
      </c>
      <c r="D38" s="9" t="str">
        <f aca="false">IF(A38="","",'QC Log'!I38)</f>
        <v/>
      </c>
      <c r="E38" s="8" t="str">
        <f aca="false">IF(A38="","",IF(D38="Pass","Passed",IF(D38="Fail","Rejected","In QC")))</f>
        <v/>
      </c>
      <c r="F38" s="5"/>
      <c r="G38" s="11" t="str">
        <f aca="false">IF(A38="","",'QC Log'!D38)</f>
        <v/>
      </c>
    </row>
    <row r="39" customFormat="false" ht="15" hidden="false" customHeight="false" outlineLevel="0" collapsed="false">
      <c r="A39" s="9" t="str">
        <f aca="false">IF('QC Log'!A39="","",'QC Log'!A39)</f>
        <v/>
      </c>
      <c r="B39" s="9" t="str">
        <f aca="false">IF(A39="","",'QC Log'!B39)</f>
        <v/>
      </c>
      <c r="C39" s="10" t="str">
        <f aca="false">IF(A39="","",'QC Log'!C39)</f>
        <v/>
      </c>
      <c r="D39" s="9" t="str">
        <f aca="false">IF(A39="","",'QC Log'!I39)</f>
        <v/>
      </c>
      <c r="E39" s="8" t="str">
        <f aca="false">IF(A39="","",IF(D39="Pass","Passed",IF(D39="Fail","Rejected","In QC")))</f>
        <v/>
      </c>
      <c r="F39" s="5"/>
      <c r="G39" s="11" t="str">
        <f aca="false">IF(A39="","",'QC Log'!D39)</f>
        <v/>
      </c>
    </row>
    <row r="40" customFormat="false" ht="15" hidden="false" customHeight="false" outlineLevel="0" collapsed="false">
      <c r="A40" s="9" t="str">
        <f aca="false">IF('QC Log'!A40="","",'QC Log'!A40)</f>
        <v/>
      </c>
      <c r="B40" s="9" t="str">
        <f aca="false">IF(A40="","",'QC Log'!B40)</f>
        <v/>
      </c>
      <c r="C40" s="10" t="str">
        <f aca="false">IF(A40="","",'QC Log'!C40)</f>
        <v/>
      </c>
      <c r="D40" s="9" t="str">
        <f aca="false">IF(A40="","",'QC Log'!I40)</f>
        <v/>
      </c>
      <c r="E40" s="8" t="str">
        <f aca="false">IF(A40="","",IF(D40="Pass","Passed",IF(D40="Fail","Rejected","In QC")))</f>
        <v/>
      </c>
      <c r="F40" s="5"/>
      <c r="G40" s="11" t="str">
        <f aca="false">IF(A40="","",'QC Log'!D40)</f>
        <v/>
      </c>
    </row>
    <row r="41" customFormat="false" ht="15" hidden="false" customHeight="false" outlineLevel="0" collapsed="false">
      <c r="A41" s="9" t="str">
        <f aca="false">IF('QC Log'!A41="","",'QC Log'!A41)</f>
        <v/>
      </c>
      <c r="B41" s="9" t="str">
        <f aca="false">IF(A41="","",'QC Log'!B41)</f>
        <v/>
      </c>
      <c r="C41" s="10" t="str">
        <f aca="false">IF(A41="","",'QC Log'!C41)</f>
        <v/>
      </c>
      <c r="D41" s="9" t="str">
        <f aca="false">IF(A41="","",'QC Log'!I41)</f>
        <v/>
      </c>
      <c r="E41" s="8" t="str">
        <f aca="false">IF(A41="","",IF(D41="Pass","Passed",IF(D41="Fail","Rejected","In QC")))</f>
        <v/>
      </c>
      <c r="F41" s="5"/>
      <c r="G41" s="11" t="str">
        <f aca="false">IF(A41="","",'QC Log'!D41)</f>
        <v/>
      </c>
    </row>
    <row r="42" customFormat="false" ht="15" hidden="false" customHeight="false" outlineLevel="0" collapsed="false">
      <c r="A42" s="9" t="str">
        <f aca="false">IF('QC Log'!A42="","",'QC Log'!A42)</f>
        <v/>
      </c>
      <c r="B42" s="9" t="str">
        <f aca="false">IF(A42="","",'QC Log'!B42)</f>
        <v/>
      </c>
      <c r="C42" s="10" t="str">
        <f aca="false">IF(A42="","",'QC Log'!C42)</f>
        <v/>
      </c>
      <c r="D42" s="9" t="str">
        <f aca="false">IF(A42="","",'QC Log'!I42)</f>
        <v/>
      </c>
      <c r="E42" s="8" t="str">
        <f aca="false">IF(A42="","",IF(D42="Pass","Passed",IF(D42="Fail","Rejected","In QC")))</f>
        <v/>
      </c>
      <c r="F42" s="5"/>
      <c r="G42" s="11" t="str">
        <f aca="false">IF(A42="","",'QC Log'!D42)</f>
        <v/>
      </c>
    </row>
    <row r="43" customFormat="false" ht="15" hidden="false" customHeight="false" outlineLevel="0" collapsed="false">
      <c r="A43" s="9" t="str">
        <f aca="false">IF('QC Log'!A43="","",'QC Log'!A43)</f>
        <v/>
      </c>
      <c r="B43" s="9" t="str">
        <f aca="false">IF(A43="","",'QC Log'!B43)</f>
        <v/>
      </c>
      <c r="C43" s="10" t="str">
        <f aca="false">IF(A43="","",'QC Log'!C43)</f>
        <v/>
      </c>
      <c r="D43" s="9" t="str">
        <f aca="false">IF(A43="","",'QC Log'!I43)</f>
        <v/>
      </c>
      <c r="E43" s="8" t="str">
        <f aca="false">IF(A43="","",IF(D43="Pass","Passed",IF(D43="Fail","Rejected","In QC")))</f>
        <v/>
      </c>
      <c r="F43" s="5"/>
      <c r="G43" s="11" t="str">
        <f aca="false">IF(A43="","",'QC Log'!D43)</f>
        <v/>
      </c>
    </row>
    <row r="44" customFormat="false" ht="15" hidden="false" customHeight="false" outlineLevel="0" collapsed="false">
      <c r="A44" s="9" t="str">
        <f aca="false">IF('QC Log'!A44="","",'QC Log'!A44)</f>
        <v/>
      </c>
      <c r="B44" s="9" t="str">
        <f aca="false">IF(A44="","",'QC Log'!B44)</f>
        <v/>
      </c>
      <c r="C44" s="10" t="str">
        <f aca="false">IF(A44="","",'QC Log'!C44)</f>
        <v/>
      </c>
      <c r="D44" s="9" t="str">
        <f aca="false">IF(A44="","",'QC Log'!I44)</f>
        <v/>
      </c>
      <c r="E44" s="8" t="str">
        <f aca="false">IF(A44="","",IF(D44="Pass","Passed",IF(D44="Fail","Rejected","In QC")))</f>
        <v/>
      </c>
      <c r="F44" s="5"/>
      <c r="G44" s="11" t="str">
        <f aca="false">IF(A44="","",'QC Log'!D44)</f>
        <v/>
      </c>
    </row>
    <row r="45" customFormat="false" ht="15" hidden="false" customHeight="false" outlineLevel="0" collapsed="false">
      <c r="A45" s="9" t="str">
        <f aca="false">IF('QC Log'!A45="","",'QC Log'!A45)</f>
        <v/>
      </c>
      <c r="B45" s="9" t="str">
        <f aca="false">IF(A45="","",'QC Log'!B45)</f>
        <v/>
      </c>
      <c r="C45" s="10" t="str">
        <f aca="false">IF(A45="","",'QC Log'!C45)</f>
        <v/>
      </c>
      <c r="D45" s="9" t="str">
        <f aca="false">IF(A45="","",'QC Log'!I45)</f>
        <v/>
      </c>
      <c r="E45" s="8" t="str">
        <f aca="false">IF(A45="","",IF(D45="Pass","Passed",IF(D45="Fail","Rejected","In QC")))</f>
        <v/>
      </c>
      <c r="F45" s="5"/>
      <c r="G45" s="11" t="str">
        <f aca="false">IF(A45="","",'QC Log'!D45)</f>
        <v/>
      </c>
    </row>
    <row r="46" customFormat="false" ht="15" hidden="false" customHeight="false" outlineLevel="0" collapsed="false">
      <c r="A46" s="9" t="str">
        <f aca="false">IF('QC Log'!A46="","",'QC Log'!A46)</f>
        <v/>
      </c>
      <c r="B46" s="9" t="str">
        <f aca="false">IF(A46="","",'QC Log'!B46)</f>
        <v/>
      </c>
      <c r="C46" s="10" t="str">
        <f aca="false">IF(A46="","",'QC Log'!C46)</f>
        <v/>
      </c>
      <c r="D46" s="9" t="str">
        <f aca="false">IF(A46="","",'QC Log'!I46)</f>
        <v/>
      </c>
      <c r="E46" s="8" t="str">
        <f aca="false">IF(A46="","",IF(D46="Pass","Passed",IF(D46="Fail","Rejected","In QC")))</f>
        <v/>
      </c>
      <c r="F46" s="5"/>
      <c r="G46" s="11" t="str">
        <f aca="false">IF(A46="","",'QC Log'!D46)</f>
        <v/>
      </c>
    </row>
    <row r="47" customFormat="false" ht="15" hidden="false" customHeight="false" outlineLevel="0" collapsed="false">
      <c r="A47" s="9" t="str">
        <f aca="false">IF('QC Log'!A47="","",'QC Log'!A47)</f>
        <v/>
      </c>
      <c r="B47" s="9" t="str">
        <f aca="false">IF(A47="","",'QC Log'!B47)</f>
        <v/>
      </c>
      <c r="C47" s="10" t="str">
        <f aca="false">IF(A47="","",'QC Log'!C47)</f>
        <v/>
      </c>
      <c r="D47" s="9" t="str">
        <f aca="false">IF(A47="","",'QC Log'!I47)</f>
        <v/>
      </c>
      <c r="E47" s="8" t="str">
        <f aca="false">IF(A47="","",IF(D47="Pass","Passed",IF(D47="Fail","Rejected","In QC")))</f>
        <v/>
      </c>
      <c r="F47" s="5"/>
      <c r="G47" s="11" t="str">
        <f aca="false">IF(A47="","",'QC Log'!D47)</f>
        <v/>
      </c>
    </row>
    <row r="48" customFormat="false" ht="15" hidden="false" customHeight="false" outlineLevel="0" collapsed="false">
      <c r="A48" s="9" t="str">
        <f aca="false">IF('QC Log'!A48="","",'QC Log'!A48)</f>
        <v/>
      </c>
      <c r="B48" s="9" t="str">
        <f aca="false">IF(A48="","",'QC Log'!B48)</f>
        <v/>
      </c>
      <c r="C48" s="10" t="str">
        <f aca="false">IF(A48="","",'QC Log'!C48)</f>
        <v/>
      </c>
      <c r="D48" s="9" t="str">
        <f aca="false">IF(A48="","",'QC Log'!I48)</f>
        <v/>
      </c>
      <c r="E48" s="8" t="str">
        <f aca="false">IF(A48="","",IF(D48="Pass","Passed",IF(D48="Fail","Rejected","In QC")))</f>
        <v/>
      </c>
      <c r="F48" s="5"/>
      <c r="G48" s="11" t="str">
        <f aca="false">IF(A48="","",'QC Log'!D48)</f>
        <v/>
      </c>
    </row>
    <row r="49" customFormat="false" ht="15" hidden="false" customHeight="false" outlineLevel="0" collapsed="false">
      <c r="A49" s="9" t="str">
        <f aca="false">IF('QC Log'!A49="","",'QC Log'!A49)</f>
        <v/>
      </c>
      <c r="B49" s="9" t="str">
        <f aca="false">IF(A49="","",'QC Log'!B49)</f>
        <v/>
      </c>
      <c r="C49" s="10" t="str">
        <f aca="false">IF(A49="","",'QC Log'!C49)</f>
        <v/>
      </c>
      <c r="D49" s="9" t="str">
        <f aca="false">IF(A49="","",'QC Log'!I49)</f>
        <v/>
      </c>
      <c r="E49" s="8" t="str">
        <f aca="false">IF(A49="","",IF(D49="Pass","Passed",IF(D49="Fail","Rejected","In QC")))</f>
        <v/>
      </c>
      <c r="F49" s="5"/>
      <c r="G49" s="11" t="str">
        <f aca="false">IF(A49="","",'QC Log'!D49)</f>
        <v/>
      </c>
    </row>
    <row r="50" customFormat="false" ht="15" hidden="false" customHeight="false" outlineLevel="0" collapsed="false">
      <c r="A50" s="9" t="str">
        <f aca="false">IF('QC Log'!A50="","",'QC Log'!A50)</f>
        <v/>
      </c>
      <c r="B50" s="9" t="str">
        <f aca="false">IF(A50="","",'QC Log'!B50)</f>
        <v/>
      </c>
      <c r="C50" s="10" t="str">
        <f aca="false">IF(A50="","",'QC Log'!C50)</f>
        <v/>
      </c>
      <c r="D50" s="9" t="str">
        <f aca="false">IF(A50="","",'QC Log'!I50)</f>
        <v/>
      </c>
      <c r="E50" s="8" t="str">
        <f aca="false">IF(A50="","",IF(D50="Pass","Passed",IF(D50="Fail","Rejected","In QC")))</f>
        <v/>
      </c>
      <c r="F50" s="5"/>
      <c r="G50" s="11" t="str">
        <f aca="false">IF(A50="","",'QC Log'!D50)</f>
        <v/>
      </c>
    </row>
    <row r="51" customFormat="false" ht="15" hidden="false" customHeight="false" outlineLevel="0" collapsed="false">
      <c r="A51" s="9" t="str">
        <f aca="false">IF('QC Log'!A51="","",'QC Log'!A51)</f>
        <v/>
      </c>
      <c r="B51" s="9" t="str">
        <f aca="false">IF(A51="","",'QC Log'!B51)</f>
        <v/>
      </c>
      <c r="C51" s="10" t="str">
        <f aca="false">IF(A51="","",'QC Log'!C51)</f>
        <v/>
      </c>
      <c r="D51" s="9" t="str">
        <f aca="false">IF(A51="","",'QC Log'!I51)</f>
        <v/>
      </c>
      <c r="E51" s="8" t="str">
        <f aca="false">IF(A51="","",IF(D51="Pass","Passed",IF(D51="Fail","Rejected","In QC")))</f>
        <v/>
      </c>
      <c r="F51" s="5"/>
      <c r="G51" s="11" t="str">
        <f aca="false">IF(A51="","",'QC Log'!D51)</f>
        <v/>
      </c>
    </row>
    <row r="52" customFormat="false" ht="15" hidden="false" customHeight="false" outlineLevel="0" collapsed="false">
      <c r="A52" s="9" t="str">
        <f aca="false">IF('QC Log'!A52="","",'QC Log'!A52)</f>
        <v/>
      </c>
      <c r="B52" s="9" t="str">
        <f aca="false">IF(A52="","",'QC Log'!B52)</f>
        <v/>
      </c>
      <c r="C52" s="10" t="str">
        <f aca="false">IF(A52="","",'QC Log'!C52)</f>
        <v/>
      </c>
      <c r="D52" s="9" t="str">
        <f aca="false">IF(A52="","",'QC Log'!I52)</f>
        <v/>
      </c>
      <c r="E52" s="8" t="str">
        <f aca="false">IF(A52="","",IF(D52="Pass","Passed",IF(D52="Fail","Rejected","In QC")))</f>
        <v/>
      </c>
      <c r="F52" s="5"/>
      <c r="G52" s="11" t="str">
        <f aca="false">IF(A52="","",'QC Log'!D52)</f>
        <v/>
      </c>
    </row>
    <row r="53" customFormat="false" ht="15" hidden="false" customHeight="false" outlineLevel="0" collapsed="false">
      <c r="A53" s="9" t="str">
        <f aca="false">IF('QC Log'!A53="","",'QC Log'!A53)</f>
        <v/>
      </c>
      <c r="B53" s="9" t="str">
        <f aca="false">IF(A53="","",'QC Log'!B53)</f>
        <v/>
      </c>
      <c r="C53" s="10" t="str">
        <f aca="false">IF(A53="","",'QC Log'!C53)</f>
        <v/>
      </c>
      <c r="D53" s="9" t="str">
        <f aca="false">IF(A53="","",'QC Log'!I53)</f>
        <v/>
      </c>
      <c r="E53" s="8" t="str">
        <f aca="false">IF(A53="","",IF(D53="Pass","Passed",IF(D53="Fail","Rejected","In QC")))</f>
        <v/>
      </c>
      <c r="F53" s="5"/>
      <c r="G53" s="11" t="str">
        <f aca="false">IF(A53="","",'QC Log'!D53)</f>
        <v/>
      </c>
    </row>
    <row r="54" customFormat="false" ht="15" hidden="false" customHeight="false" outlineLevel="0" collapsed="false">
      <c r="A54" s="9" t="str">
        <f aca="false">IF('QC Log'!A54="","",'QC Log'!A54)</f>
        <v/>
      </c>
      <c r="B54" s="9" t="str">
        <f aca="false">IF(A54="","",'QC Log'!B54)</f>
        <v/>
      </c>
      <c r="C54" s="10" t="str">
        <f aca="false">IF(A54="","",'QC Log'!C54)</f>
        <v/>
      </c>
      <c r="D54" s="9" t="str">
        <f aca="false">IF(A54="","",'QC Log'!I54)</f>
        <v/>
      </c>
      <c r="E54" s="8" t="str">
        <f aca="false">IF(A54="","",IF(D54="Pass","Passed",IF(D54="Fail","Rejected","In QC")))</f>
        <v/>
      </c>
      <c r="F54" s="5"/>
      <c r="G54" s="11" t="str">
        <f aca="false">IF(A54="","",'QC Log'!D54)</f>
        <v/>
      </c>
    </row>
    <row r="55" customFormat="false" ht="15" hidden="false" customHeight="false" outlineLevel="0" collapsed="false">
      <c r="A55" s="9" t="str">
        <f aca="false">IF('QC Log'!A55="","",'QC Log'!A55)</f>
        <v/>
      </c>
      <c r="B55" s="9" t="str">
        <f aca="false">IF(A55="","",'QC Log'!B55)</f>
        <v/>
      </c>
      <c r="C55" s="10" t="str">
        <f aca="false">IF(A55="","",'QC Log'!C55)</f>
        <v/>
      </c>
      <c r="D55" s="9" t="str">
        <f aca="false">IF(A55="","",'QC Log'!I55)</f>
        <v/>
      </c>
      <c r="E55" s="8" t="str">
        <f aca="false">IF(A55="","",IF(D55="Pass","Passed",IF(D55="Fail","Rejected","In QC")))</f>
        <v/>
      </c>
      <c r="F55" s="5"/>
      <c r="G55" s="11" t="str">
        <f aca="false">IF(A55="","",'QC Log'!D55)</f>
        <v/>
      </c>
    </row>
    <row r="56" customFormat="false" ht="15" hidden="false" customHeight="false" outlineLevel="0" collapsed="false">
      <c r="A56" s="9" t="str">
        <f aca="false">IF('QC Log'!A56="","",'QC Log'!A56)</f>
        <v/>
      </c>
      <c r="B56" s="9" t="str">
        <f aca="false">IF(A56="","",'QC Log'!B56)</f>
        <v/>
      </c>
      <c r="C56" s="10" t="str">
        <f aca="false">IF(A56="","",'QC Log'!C56)</f>
        <v/>
      </c>
      <c r="D56" s="9" t="str">
        <f aca="false">IF(A56="","",'QC Log'!I56)</f>
        <v/>
      </c>
      <c r="E56" s="8" t="str">
        <f aca="false">IF(A56="","",IF(D56="Pass","Passed",IF(D56="Fail","Rejected","In QC")))</f>
        <v/>
      </c>
      <c r="F56" s="5"/>
      <c r="G56" s="11" t="str">
        <f aca="false">IF(A56="","",'QC Log'!D56)</f>
        <v/>
      </c>
    </row>
    <row r="57" customFormat="false" ht="15" hidden="false" customHeight="false" outlineLevel="0" collapsed="false">
      <c r="A57" s="9" t="str">
        <f aca="false">IF('QC Log'!A57="","",'QC Log'!A57)</f>
        <v/>
      </c>
      <c r="B57" s="9" t="str">
        <f aca="false">IF(A57="","",'QC Log'!B57)</f>
        <v/>
      </c>
      <c r="C57" s="10" t="str">
        <f aca="false">IF(A57="","",'QC Log'!C57)</f>
        <v/>
      </c>
      <c r="D57" s="9" t="str">
        <f aca="false">IF(A57="","",'QC Log'!I57)</f>
        <v/>
      </c>
      <c r="E57" s="8" t="str">
        <f aca="false">IF(A57="","",IF(D57="Pass","Passed",IF(D57="Fail","Rejected","In QC")))</f>
        <v/>
      </c>
      <c r="F57" s="5"/>
      <c r="G57" s="11" t="str">
        <f aca="false">IF(A57="","",'QC Log'!D57)</f>
        <v/>
      </c>
    </row>
    <row r="58" customFormat="false" ht="15" hidden="false" customHeight="false" outlineLevel="0" collapsed="false">
      <c r="A58" s="9" t="str">
        <f aca="false">IF('QC Log'!A58="","",'QC Log'!A58)</f>
        <v/>
      </c>
      <c r="B58" s="9" t="str">
        <f aca="false">IF(A58="","",'QC Log'!B58)</f>
        <v/>
      </c>
      <c r="C58" s="10" t="str">
        <f aca="false">IF(A58="","",'QC Log'!C58)</f>
        <v/>
      </c>
      <c r="D58" s="9" t="str">
        <f aca="false">IF(A58="","",'QC Log'!I58)</f>
        <v/>
      </c>
      <c r="E58" s="8" t="str">
        <f aca="false">IF(A58="","",IF(D58="Pass","Passed",IF(D58="Fail","Rejected","In QC")))</f>
        <v/>
      </c>
      <c r="F58" s="5"/>
      <c r="G58" s="11" t="str">
        <f aca="false">IF(A58="","",'QC Log'!D58)</f>
        <v/>
      </c>
    </row>
    <row r="59" customFormat="false" ht="15" hidden="false" customHeight="false" outlineLevel="0" collapsed="false">
      <c r="A59" s="9" t="str">
        <f aca="false">IF('QC Log'!A59="","",'QC Log'!A59)</f>
        <v/>
      </c>
      <c r="B59" s="9" t="str">
        <f aca="false">IF(A59="","",'QC Log'!B59)</f>
        <v/>
      </c>
      <c r="C59" s="10" t="str">
        <f aca="false">IF(A59="","",'QC Log'!C59)</f>
        <v/>
      </c>
      <c r="D59" s="9" t="str">
        <f aca="false">IF(A59="","",'QC Log'!I59)</f>
        <v/>
      </c>
      <c r="E59" s="8" t="str">
        <f aca="false">IF(A59="","",IF(D59="Pass","Passed",IF(D59="Fail","Rejected","In QC")))</f>
        <v/>
      </c>
      <c r="F59" s="5"/>
      <c r="G59" s="11" t="str">
        <f aca="false">IF(A59="","",'QC Log'!D59)</f>
        <v/>
      </c>
    </row>
    <row r="60" customFormat="false" ht="15" hidden="false" customHeight="false" outlineLevel="0" collapsed="false">
      <c r="A60" s="9" t="str">
        <f aca="false">IF('QC Log'!A60="","",'QC Log'!A60)</f>
        <v/>
      </c>
      <c r="B60" s="9" t="str">
        <f aca="false">IF(A60="","",'QC Log'!B60)</f>
        <v/>
      </c>
      <c r="C60" s="10" t="str">
        <f aca="false">IF(A60="","",'QC Log'!C60)</f>
        <v/>
      </c>
      <c r="D60" s="9" t="str">
        <f aca="false">IF(A60="","",'QC Log'!I60)</f>
        <v/>
      </c>
      <c r="E60" s="8" t="str">
        <f aca="false">IF(A60="","",IF(D60="Pass","Passed",IF(D60="Fail","Rejected","In QC")))</f>
        <v/>
      </c>
      <c r="F60" s="5"/>
      <c r="G60" s="11" t="str">
        <f aca="false">IF(A60="","",'QC Log'!D60)</f>
        <v/>
      </c>
    </row>
    <row r="61" customFormat="false" ht="15" hidden="false" customHeight="false" outlineLevel="0" collapsed="false">
      <c r="A61" s="9" t="str">
        <f aca="false">IF('QC Log'!A61="","",'QC Log'!A61)</f>
        <v/>
      </c>
      <c r="B61" s="9" t="str">
        <f aca="false">IF(A61="","",'QC Log'!B61)</f>
        <v/>
      </c>
      <c r="C61" s="10" t="str">
        <f aca="false">IF(A61="","",'QC Log'!C61)</f>
        <v/>
      </c>
      <c r="D61" s="9" t="str">
        <f aca="false">IF(A61="","",'QC Log'!I61)</f>
        <v/>
      </c>
      <c r="E61" s="8" t="str">
        <f aca="false">IF(A61="","",IF(D61="Pass","Passed",IF(D61="Fail","Rejected","In QC")))</f>
        <v/>
      </c>
      <c r="F61" s="5"/>
      <c r="G61" s="11" t="str">
        <f aca="false">IF(A61="","",'QC Log'!D61)</f>
        <v/>
      </c>
    </row>
    <row r="62" customFormat="false" ht="15" hidden="false" customHeight="false" outlineLevel="0" collapsed="false">
      <c r="A62" s="9" t="str">
        <f aca="false">IF('QC Log'!A62="","",'QC Log'!A62)</f>
        <v/>
      </c>
      <c r="B62" s="9" t="str">
        <f aca="false">IF(A62="","",'QC Log'!B62)</f>
        <v/>
      </c>
      <c r="C62" s="10" t="str">
        <f aca="false">IF(A62="","",'QC Log'!C62)</f>
        <v/>
      </c>
      <c r="D62" s="9" t="str">
        <f aca="false">IF(A62="","",'QC Log'!I62)</f>
        <v/>
      </c>
      <c r="E62" s="8" t="str">
        <f aca="false">IF(A62="","",IF(D62="Pass","Passed",IF(D62="Fail","Rejected","In QC")))</f>
        <v/>
      </c>
      <c r="F62" s="5"/>
      <c r="G62" s="11" t="str">
        <f aca="false">IF(A62="","",'QC Log'!D62)</f>
        <v/>
      </c>
    </row>
    <row r="63" customFormat="false" ht="15" hidden="false" customHeight="false" outlineLevel="0" collapsed="false">
      <c r="A63" s="9" t="str">
        <f aca="false">IF('QC Log'!A63="","",'QC Log'!A63)</f>
        <v/>
      </c>
      <c r="B63" s="9" t="str">
        <f aca="false">IF(A63="","",'QC Log'!B63)</f>
        <v/>
      </c>
      <c r="C63" s="10" t="str">
        <f aca="false">IF(A63="","",'QC Log'!C63)</f>
        <v/>
      </c>
      <c r="D63" s="9" t="str">
        <f aca="false">IF(A63="","",'QC Log'!I63)</f>
        <v/>
      </c>
      <c r="E63" s="8" t="str">
        <f aca="false">IF(A63="","",IF(D63="Pass","Passed",IF(D63="Fail","Rejected","In QC")))</f>
        <v/>
      </c>
      <c r="F63" s="5"/>
      <c r="G63" s="11" t="str">
        <f aca="false">IF(A63="","",'QC Log'!D63)</f>
        <v/>
      </c>
    </row>
    <row r="64" customFormat="false" ht="15" hidden="false" customHeight="false" outlineLevel="0" collapsed="false">
      <c r="A64" s="9" t="str">
        <f aca="false">IF('QC Log'!A64="","",'QC Log'!A64)</f>
        <v/>
      </c>
      <c r="B64" s="9" t="str">
        <f aca="false">IF(A64="","",'QC Log'!B64)</f>
        <v/>
      </c>
      <c r="C64" s="10" t="str">
        <f aca="false">IF(A64="","",'QC Log'!C64)</f>
        <v/>
      </c>
      <c r="D64" s="9" t="str">
        <f aca="false">IF(A64="","",'QC Log'!I64)</f>
        <v/>
      </c>
      <c r="E64" s="8" t="str">
        <f aca="false">IF(A64="","",IF(D64="Pass","Passed",IF(D64="Fail","Rejected","In QC")))</f>
        <v/>
      </c>
      <c r="F64" s="5"/>
      <c r="G64" s="11" t="str">
        <f aca="false">IF(A64="","",'QC Log'!D64)</f>
        <v/>
      </c>
    </row>
    <row r="65" customFormat="false" ht="15" hidden="false" customHeight="false" outlineLevel="0" collapsed="false">
      <c r="A65" s="9" t="str">
        <f aca="false">IF('QC Log'!A65="","",'QC Log'!A65)</f>
        <v/>
      </c>
      <c r="B65" s="9" t="str">
        <f aca="false">IF(A65="","",'QC Log'!B65)</f>
        <v/>
      </c>
      <c r="C65" s="10" t="str">
        <f aca="false">IF(A65="","",'QC Log'!C65)</f>
        <v/>
      </c>
      <c r="D65" s="9" t="str">
        <f aca="false">IF(A65="","",'QC Log'!I65)</f>
        <v/>
      </c>
      <c r="E65" s="8" t="str">
        <f aca="false">IF(A65="","",IF(D65="Pass","Passed",IF(D65="Fail","Rejected","In QC")))</f>
        <v/>
      </c>
      <c r="F65" s="5"/>
      <c r="G65" s="11" t="str">
        <f aca="false">IF(A65="","",'QC Log'!D65)</f>
        <v/>
      </c>
    </row>
    <row r="66" customFormat="false" ht="15" hidden="false" customHeight="false" outlineLevel="0" collapsed="false">
      <c r="A66" s="9" t="str">
        <f aca="false">IF('QC Log'!A66="","",'QC Log'!A66)</f>
        <v/>
      </c>
      <c r="B66" s="9" t="str">
        <f aca="false">IF(A66="","",'QC Log'!B66)</f>
        <v/>
      </c>
      <c r="C66" s="10" t="str">
        <f aca="false">IF(A66="","",'QC Log'!C66)</f>
        <v/>
      </c>
      <c r="D66" s="9" t="str">
        <f aca="false">IF(A66="","",'QC Log'!I66)</f>
        <v/>
      </c>
      <c r="E66" s="8" t="str">
        <f aca="false">IF(A66="","",IF(D66="Pass","Passed",IF(D66="Fail","Rejected","In QC")))</f>
        <v/>
      </c>
      <c r="F66" s="5"/>
      <c r="G66" s="11" t="str">
        <f aca="false">IF(A66="","",'QC Log'!D66)</f>
        <v/>
      </c>
    </row>
    <row r="67" customFormat="false" ht="15" hidden="false" customHeight="false" outlineLevel="0" collapsed="false">
      <c r="A67" s="9" t="str">
        <f aca="false">IF('QC Log'!A67="","",'QC Log'!A67)</f>
        <v/>
      </c>
      <c r="B67" s="9" t="str">
        <f aca="false">IF(A67="","",'QC Log'!B67)</f>
        <v/>
      </c>
      <c r="C67" s="10" t="str">
        <f aca="false">IF(A67="","",'QC Log'!C67)</f>
        <v/>
      </c>
      <c r="D67" s="9" t="str">
        <f aca="false">IF(A67="","",'QC Log'!I67)</f>
        <v/>
      </c>
      <c r="E67" s="8" t="str">
        <f aca="false">IF(A67="","",IF(D67="Pass","Passed",IF(D67="Fail","Rejected","In QC")))</f>
        <v/>
      </c>
      <c r="F67" s="5"/>
      <c r="G67" s="11" t="str">
        <f aca="false">IF(A67="","",'QC Log'!D67)</f>
        <v/>
      </c>
    </row>
    <row r="68" customFormat="false" ht="15" hidden="false" customHeight="false" outlineLevel="0" collapsed="false">
      <c r="A68" s="9" t="str">
        <f aca="false">IF('QC Log'!A68="","",'QC Log'!A68)</f>
        <v/>
      </c>
      <c r="B68" s="9" t="str">
        <f aca="false">IF(A68="","",'QC Log'!B68)</f>
        <v/>
      </c>
      <c r="C68" s="10" t="str">
        <f aca="false">IF(A68="","",'QC Log'!C68)</f>
        <v/>
      </c>
      <c r="D68" s="9" t="str">
        <f aca="false">IF(A68="","",'QC Log'!I68)</f>
        <v/>
      </c>
      <c r="E68" s="8" t="str">
        <f aca="false">IF(A68="","",IF(D68="Pass","Passed",IF(D68="Fail","Rejected","In QC")))</f>
        <v/>
      </c>
      <c r="F68" s="5"/>
      <c r="G68" s="11" t="str">
        <f aca="false">IF(A68="","",'QC Log'!D68)</f>
        <v/>
      </c>
    </row>
    <row r="69" customFormat="false" ht="15" hidden="false" customHeight="false" outlineLevel="0" collapsed="false">
      <c r="A69" s="9" t="str">
        <f aca="false">IF('QC Log'!A69="","",'QC Log'!A69)</f>
        <v/>
      </c>
      <c r="B69" s="9" t="str">
        <f aca="false">IF(A69="","",'QC Log'!B69)</f>
        <v/>
      </c>
      <c r="C69" s="10" t="str">
        <f aca="false">IF(A69="","",'QC Log'!C69)</f>
        <v/>
      </c>
      <c r="D69" s="9" t="str">
        <f aca="false">IF(A69="","",'QC Log'!I69)</f>
        <v/>
      </c>
      <c r="E69" s="8" t="str">
        <f aca="false">IF(A69="","",IF(D69="Pass","Passed",IF(D69="Fail","Rejected","In QC")))</f>
        <v/>
      </c>
      <c r="F69" s="5"/>
      <c r="G69" s="11" t="str">
        <f aca="false">IF(A69="","",'QC Log'!D69)</f>
        <v/>
      </c>
    </row>
    <row r="70" customFormat="false" ht="15" hidden="false" customHeight="false" outlineLevel="0" collapsed="false">
      <c r="A70" s="9" t="str">
        <f aca="false">IF('QC Log'!A70="","",'QC Log'!A70)</f>
        <v/>
      </c>
      <c r="B70" s="9" t="str">
        <f aca="false">IF(A70="","",'QC Log'!B70)</f>
        <v/>
      </c>
      <c r="C70" s="10" t="str">
        <f aca="false">IF(A70="","",'QC Log'!C70)</f>
        <v/>
      </c>
      <c r="D70" s="9" t="str">
        <f aca="false">IF(A70="","",'QC Log'!I70)</f>
        <v/>
      </c>
      <c r="E70" s="8" t="str">
        <f aca="false">IF(A70="","",IF(D70="Pass","Passed",IF(D70="Fail","Rejected","In QC")))</f>
        <v/>
      </c>
      <c r="F70" s="5"/>
      <c r="G70" s="11" t="str">
        <f aca="false">IF(A70="","",'QC Log'!D70)</f>
        <v/>
      </c>
    </row>
    <row r="71" customFormat="false" ht="15" hidden="false" customHeight="false" outlineLevel="0" collapsed="false">
      <c r="A71" s="9" t="str">
        <f aca="false">IF('QC Log'!A71="","",'QC Log'!A71)</f>
        <v/>
      </c>
      <c r="B71" s="9" t="str">
        <f aca="false">IF(A71="","",'QC Log'!B71)</f>
        <v/>
      </c>
      <c r="C71" s="10" t="str">
        <f aca="false">IF(A71="","",'QC Log'!C71)</f>
        <v/>
      </c>
      <c r="D71" s="9" t="str">
        <f aca="false">IF(A71="","",'QC Log'!I71)</f>
        <v/>
      </c>
      <c r="E71" s="8" t="str">
        <f aca="false">IF(A71="","",IF(D71="Pass","Passed",IF(D71="Fail","Rejected","In QC")))</f>
        <v/>
      </c>
      <c r="F71" s="5"/>
      <c r="G71" s="11" t="str">
        <f aca="false">IF(A71="","",'QC Log'!D71)</f>
        <v/>
      </c>
    </row>
    <row r="72" customFormat="false" ht="15" hidden="false" customHeight="false" outlineLevel="0" collapsed="false">
      <c r="A72" s="9" t="str">
        <f aca="false">IF('QC Log'!A72="","",'QC Log'!A72)</f>
        <v/>
      </c>
      <c r="B72" s="9" t="str">
        <f aca="false">IF(A72="","",'QC Log'!B72)</f>
        <v/>
      </c>
      <c r="C72" s="10" t="str">
        <f aca="false">IF(A72="","",'QC Log'!C72)</f>
        <v/>
      </c>
      <c r="D72" s="9" t="str">
        <f aca="false">IF(A72="","",'QC Log'!I72)</f>
        <v/>
      </c>
      <c r="E72" s="8" t="str">
        <f aca="false">IF(A72="","",IF(D72="Pass","Passed",IF(D72="Fail","Rejected","In QC")))</f>
        <v/>
      </c>
      <c r="F72" s="5"/>
      <c r="G72" s="11" t="str">
        <f aca="false">IF(A72="","",'QC Log'!D72)</f>
        <v/>
      </c>
    </row>
    <row r="73" customFormat="false" ht="15" hidden="false" customHeight="false" outlineLevel="0" collapsed="false">
      <c r="A73" s="9" t="str">
        <f aca="false">IF('QC Log'!A73="","",'QC Log'!A73)</f>
        <v/>
      </c>
      <c r="B73" s="9" t="str">
        <f aca="false">IF(A73="","",'QC Log'!B73)</f>
        <v/>
      </c>
      <c r="C73" s="10" t="str">
        <f aca="false">IF(A73="","",'QC Log'!C73)</f>
        <v/>
      </c>
      <c r="D73" s="9" t="str">
        <f aca="false">IF(A73="","",'QC Log'!I73)</f>
        <v/>
      </c>
      <c r="E73" s="8" t="str">
        <f aca="false">IF(A73="","",IF(D73="Pass","Passed",IF(D73="Fail","Rejected","In QC")))</f>
        <v/>
      </c>
      <c r="F73" s="5"/>
      <c r="G73" s="11" t="str">
        <f aca="false">IF(A73="","",'QC Log'!D73)</f>
        <v/>
      </c>
    </row>
    <row r="74" customFormat="false" ht="15" hidden="false" customHeight="false" outlineLevel="0" collapsed="false">
      <c r="A74" s="9" t="str">
        <f aca="false">IF('QC Log'!A74="","",'QC Log'!A74)</f>
        <v/>
      </c>
      <c r="B74" s="9" t="str">
        <f aca="false">IF(A74="","",'QC Log'!B74)</f>
        <v/>
      </c>
      <c r="C74" s="10" t="str">
        <f aca="false">IF(A74="","",'QC Log'!C74)</f>
        <v/>
      </c>
      <c r="D74" s="9" t="str">
        <f aca="false">IF(A74="","",'QC Log'!I74)</f>
        <v/>
      </c>
      <c r="E74" s="8" t="str">
        <f aca="false">IF(A74="","",IF(D74="Pass","Passed",IF(D74="Fail","Rejected","In QC")))</f>
        <v/>
      </c>
      <c r="F74" s="5"/>
      <c r="G74" s="11" t="str">
        <f aca="false">IF(A74="","",'QC Log'!D74)</f>
        <v/>
      </c>
    </row>
    <row r="75" customFormat="false" ht="15" hidden="false" customHeight="false" outlineLevel="0" collapsed="false">
      <c r="A75" s="9" t="str">
        <f aca="false">IF('QC Log'!A75="","",'QC Log'!A75)</f>
        <v/>
      </c>
      <c r="B75" s="9" t="str">
        <f aca="false">IF(A75="","",'QC Log'!B75)</f>
        <v/>
      </c>
      <c r="C75" s="10" t="str">
        <f aca="false">IF(A75="","",'QC Log'!C75)</f>
        <v/>
      </c>
      <c r="D75" s="9" t="str">
        <f aca="false">IF(A75="","",'QC Log'!I75)</f>
        <v/>
      </c>
      <c r="E75" s="8" t="str">
        <f aca="false">IF(A75="","",IF(D75="Pass","Passed",IF(D75="Fail","Rejected","In QC")))</f>
        <v/>
      </c>
      <c r="F75" s="5"/>
      <c r="G75" s="11" t="str">
        <f aca="false">IF(A75="","",'QC Log'!D75)</f>
        <v/>
      </c>
    </row>
    <row r="76" customFormat="false" ht="15" hidden="false" customHeight="false" outlineLevel="0" collapsed="false">
      <c r="A76" s="9" t="str">
        <f aca="false">IF('QC Log'!A76="","",'QC Log'!A76)</f>
        <v/>
      </c>
      <c r="B76" s="9" t="str">
        <f aca="false">IF(A76="","",'QC Log'!B76)</f>
        <v/>
      </c>
      <c r="C76" s="10" t="str">
        <f aca="false">IF(A76="","",'QC Log'!C76)</f>
        <v/>
      </c>
      <c r="D76" s="9" t="str">
        <f aca="false">IF(A76="","",'QC Log'!I76)</f>
        <v/>
      </c>
      <c r="E76" s="8" t="str">
        <f aca="false">IF(A76="","",IF(D76="Pass","Passed",IF(D76="Fail","Rejected","In QC")))</f>
        <v/>
      </c>
      <c r="F76" s="5"/>
      <c r="G76" s="11" t="str">
        <f aca="false">IF(A76="","",'QC Log'!D76)</f>
        <v/>
      </c>
    </row>
    <row r="77" customFormat="false" ht="15" hidden="false" customHeight="false" outlineLevel="0" collapsed="false">
      <c r="A77" s="9" t="str">
        <f aca="false">IF('QC Log'!A77="","",'QC Log'!A77)</f>
        <v/>
      </c>
      <c r="B77" s="9" t="str">
        <f aca="false">IF(A77="","",'QC Log'!B77)</f>
        <v/>
      </c>
      <c r="C77" s="10" t="str">
        <f aca="false">IF(A77="","",'QC Log'!C77)</f>
        <v/>
      </c>
      <c r="D77" s="9" t="str">
        <f aca="false">IF(A77="","",'QC Log'!I77)</f>
        <v/>
      </c>
      <c r="E77" s="8" t="str">
        <f aca="false">IF(A77="","",IF(D77="Pass","Passed",IF(D77="Fail","Rejected","In QC")))</f>
        <v/>
      </c>
      <c r="F77" s="5"/>
      <c r="G77" s="11" t="str">
        <f aca="false">IF(A77="","",'QC Log'!D77)</f>
        <v/>
      </c>
    </row>
    <row r="78" customFormat="false" ht="15" hidden="false" customHeight="false" outlineLevel="0" collapsed="false">
      <c r="A78" s="9" t="str">
        <f aca="false">IF('QC Log'!A78="","",'QC Log'!A78)</f>
        <v/>
      </c>
      <c r="B78" s="9" t="str">
        <f aca="false">IF(A78="","",'QC Log'!B78)</f>
        <v/>
      </c>
      <c r="C78" s="10" t="str">
        <f aca="false">IF(A78="","",'QC Log'!C78)</f>
        <v/>
      </c>
      <c r="D78" s="9" t="str">
        <f aca="false">IF(A78="","",'QC Log'!I78)</f>
        <v/>
      </c>
      <c r="E78" s="8" t="str">
        <f aca="false">IF(A78="","",IF(D78="Pass","Passed",IF(D78="Fail","Rejected","In QC")))</f>
        <v/>
      </c>
      <c r="F78" s="5"/>
      <c r="G78" s="11" t="str">
        <f aca="false">IF(A78="","",'QC Log'!D78)</f>
        <v/>
      </c>
    </row>
    <row r="79" customFormat="false" ht="15" hidden="false" customHeight="false" outlineLevel="0" collapsed="false">
      <c r="A79" s="9" t="str">
        <f aca="false">IF('QC Log'!A79="","",'QC Log'!A79)</f>
        <v/>
      </c>
      <c r="B79" s="9" t="str">
        <f aca="false">IF(A79="","",'QC Log'!B79)</f>
        <v/>
      </c>
      <c r="C79" s="10" t="str">
        <f aca="false">IF(A79="","",'QC Log'!C79)</f>
        <v/>
      </c>
      <c r="D79" s="9" t="str">
        <f aca="false">IF(A79="","",'QC Log'!I79)</f>
        <v/>
      </c>
      <c r="E79" s="8" t="str">
        <f aca="false">IF(A79="","",IF(D79="Pass","Passed",IF(D79="Fail","Rejected","In QC")))</f>
        <v/>
      </c>
      <c r="F79" s="5"/>
      <c r="G79" s="11" t="str">
        <f aca="false">IF(A79="","",'QC Log'!D79)</f>
        <v/>
      </c>
    </row>
    <row r="80" customFormat="false" ht="15" hidden="false" customHeight="false" outlineLevel="0" collapsed="false">
      <c r="A80" s="9" t="str">
        <f aca="false">IF('QC Log'!A80="","",'QC Log'!A80)</f>
        <v/>
      </c>
      <c r="B80" s="9" t="str">
        <f aca="false">IF(A80="","",'QC Log'!B80)</f>
        <v/>
      </c>
      <c r="C80" s="10" t="str">
        <f aca="false">IF(A80="","",'QC Log'!C80)</f>
        <v/>
      </c>
      <c r="D80" s="9" t="str">
        <f aca="false">IF(A80="","",'QC Log'!I80)</f>
        <v/>
      </c>
      <c r="E80" s="8" t="str">
        <f aca="false">IF(A80="","",IF(D80="Pass","Passed",IF(D80="Fail","Rejected","In QC")))</f>
        <v/>
      </c>
      <c r="F80" s="5"/>
      <c r="G80" s="11" t="str">
        <f aca="false">IF(A80="","",'QC Log'!D80)</f>
        <v/>
      </c>
    </row>
    <row r="81" customFormat="false" ht="15" hidden="false" customHeight="false" outlineLevel="0" collapsed="false">
      <c r="A81" s="9" t="str">
        <f aca="false">IF('QC Log'!A81="","",'QC Log'!A81)</f>
        <v/>
      </c>
      <c r="B81" s="9" t="str">
        <f aca="false">IF(A81="","",'QC Log'!B81)</f>
        <v/>
      </c>
      <c r="C81" s="10" t="str">
        <f aca="false">IF(A81="","",'QC Log'!C81)</f>
        <v/>
      </c>
      <c r="D81" s="9" t="str">
        <f aca="false">IF(A81="","",'QC Log'!I81)</f>
        <v/>
      </c>
      <c r="E81" s="8" t="str">
        <f aca="false">IF(A81="","",IF(D81="Pass","Passed",IF(D81="Fail","Rejected","In QC")))</f>
        <v/>
      </c>
      <c r="F81" s="5"/>
      <c r="G81" s="11" t="str">
        <f aca="false">IF(A81="","",'QC Log'!D81)</f>
        <v/>
      </c>
    </row>
    <row r="82" customFormat="false" ht="15" hidden="false" customHeight="false" outlineLevel="0" collapsed="false">
      <c r="A82" s="9" t="str">
        <f aca="false">IF('QC Log'!A82="","",'QC Log'!A82)</f>
        <v/>
      </c>
      <c r="B82" s="9" t="str">
        <f aca="false">IF(A82="","",'QC Log'!B82)</f>
        <v/>
      </c>
      <c r="C82" s="10" t="str">
        <f aca="false">IF(A82="","",'QC Log'!C82)</f>
        <v/>
      </c>
      <c r="D82" s="9" t="str">
        <f aca="false">IF(A82="","",'QC Log'!I82)</f>
        <v/>
      </c>
      <c r="E82" s="8" t="str">
        <f aca="false">IF(A82="","",IF(D82="Pass","Passed",IF(D82="Fail","Rejected","In QC")))</f>
        <v/>
      </c>
      <c r="F82" s="5"/>
      <c r="G82" s="11" t="str">
        <f aca="false">IF(A82="","",'QC Log'!D82)</f>
        <v/>
      </c>
    </row>
    <row r="83" customFormat="false" ht="15" hidden="false" customHeight="false" outlineLevel="0" collapsed="false">
      <c r="A83" s="9" t="str">
        <f aca="false">IF('QC Log'!A83="","",'QC Log'!A83)</f>
        <v/>
      </c>
      <c r="B83" s="9" t="str">
        <f aca="false">IF(A83="","",'QC Log'!B83)</f>
        <v/>
      </c>
      <c r="C83" s="10" t="str">
        <f aca="false">IF(A83="","",'QC Log'!C83)</f>
        <v/>
      </c>
      <c r="D83" s="9" t="str">
        <f aca="false">IF(A83="","",'QC Log'!I83)</f>
        <v/>
      </c>
      <c r="E83" s="8" t="str">
        <f aca="false">IF(A83="","",IF(D83="Pass","Passed",IF(D83="Fail","Rejected","In QC")))</f>
        <v/>
      </c>
      <c r="F83" s="5"/>
      <c r="G83" s="11" t="str">
        <f aca="false">IF(A83="","",'QC Log'!D83)</f>
        <v/>
      </c>
    </row>
    <row r="84" customFormat="false" ht="15" hidden="false" customHeight="false" outlineLevel="0" collapsed="false">
      <c r="A84" s="9" t="str">
        <f aca="false">IF('QC Log'!A84="","",'QC Log'!A84)</f>
        <v/>
      </c>
      <c r="B84" s="9" t="str">
        <f aca="false">IF(A84="","",'QC Log'!B84)</f>
        <v/>
      </c>
      <c r="C84" s="10" t="str">
        <f aca="false">IF(A84="","",'QC Log'!C84)</f>
        <v/>
      </c>
      <c r="D84" s="9" t="str">
        <f aca="false">IF(A84="","",'QC Log'!I84)</f>
        <v/>
      </c>
      <c r="E84" s="8" t="str">
        <f aca="false">IF(A84="","",IF(D84="Pass","Passed",IF(D84="Fail","Rejected","In QC")))</f>
        <v/>
      </c>
      <c r="F84" s="5"/>
      <c r="G84" s="11" t="str">
        <f aca="false">IF(A84="","",'QC Log'!D84)</f>
        <v/>
      </c>
    </row>
    <row r="85" customFormat="false" ht="15" hidden="false" customHeight="false" outlineLevel="0" collapsed="false">
      <c r="A85" s="9" t="str">
        <f aca="false">IF('QC Log'!A85="","",'QC Log'!A85)</f>
        <v/>
      </c>
      <c r="B85" s="9" t="str">
        <f aca="false">IF(A85="","",'QC Log'!B85)</f>
        <v/>
      </c>
      <c r="C85" s="10" t="str">
        <f aca="false">IF(A85="","",'QC Log'!C85)</f>
        <v/>
      </c>
      <c r="D85" s="9" t="str">
        <f aca="false">IF(A85="","",'QC Log'!I85)</f>
        <v/>
      </c>
      <c r="E85" s="8" t="str">
        <f aca="false">IF(A85="","",IF(D85="Pass","Passed",IF(D85="Fail","Rejected","In QC")))</f>
        <v/>
      </c>
      <c r="F85" s="5"/>
      <c r="G85" s="11" t="str">
        <f aca="false">IF(A85="","",'QC Log'!D85)</f>
        <v/>
      </c>
    </row>
    <row r="86" customFormat="false" ht="15" hidden="false" customHeight="false" outlineLevel="0" collapsed="false">
      <c r="A86" s="9" t="str">
        <f aca="false">IF('QC Log'!A86="","",'QC Log'!A86)</f>
        <v/>
      </c>
      <c r="B86" s="9" t="str">
        <f aca="false">IF(A86="","",'QC Log'!B86)</f>
        <v/>
      </c>
      <c r="C86" s="10" t="str">
        <f aca="false">IF(A86="","",'QC Log'!C86)</f>
        <v/>
      </c>
      <c r="D86" s="9" t="str">
        <f aca="false">IF(A86="","",'QC Log'!I86)</f>
        <v/>
      </c>
      <c r="E86" s="8" t="str">
        <f aca="false">IF(A86="","",IF(D86="Pass","Passed",IF(D86="Fail","Rejected","In QC")))</f>
        <v/>
      </c>
      <c r="F86" s="5"/>
      <c r="G86" s="11" t="str">
        <f aca="false">IF(A86="","",'QC Log'!D86)</f>
        <v/>
      </c>
    </row>
    <row r="87" customFormat="false" ht="15" hidden="false" customHeight="false" outlineLevel="0" collapsed="false">
      <c r="A87" s="9" t="str">
        <f aca="false">IF('QC Log'!A87="","",'QC Log'!A87)</f>
        <v/>
      </c>
      <c r="B87" s="9" t="str">
        <f aca="false">IF(A87="","",'QC Log'!B87)</f>
        <v/>
      </c>
      <c r="C87" s="10" t="str">
        <f aca="false">IF(A87="","",'QC Log'!C87)</f>
        <v/>
      </c>
      <c r="D87" s="9" t="str">
        <f aca="false">IF(A87="","",'QC Log'!I87)</f>
        <v/>
      </c>
      <c r="E87" s="8" t="str">
        <f aca="false">IF(A87="","",IF(D87="Pass","Passed",IF(D87="Fail","Rejected","In QC")))</f>
        <v/>
      </c>
      <c r="F87" s="5"/>
      <c r="G87" s="11" t="str">
        <f aca="false">IF(A87="","",'QC Log'!D87)</f>
        <v/>
      </c>
    </row>
    <row r="88" customFormat="false" ht="15" hidden="false" customHeight="false" outlineLevel="0" collapsed="false">
      <c r="A88" s="9" t="str">
        <f aca="false">IF('QC Log'!A88="","",'QC Log'!A88)</f>
        <v/>
      </c>
      <c r="B88" s="9" t="str">
        <f aca="false">IF(A88="","",'QC Log'!B88)</f>
        <v/>
      </c>
      <c r="C88" s="10" t="str">
        <f aca="false">IF(A88="","",'QC Log'!C88)</f>
        <v/>
      </c>
      <c r="D88" s="9" t="str">
        <f aca="false">IF(A88="","",'QC Log'!I88)</f>
        <v/>
      </c>
      <c r="E88" s="8" t="str">
        <f aca="false">IF(A88="","",IF(D88="Pass","Passed",IF(D88="Fail","Rejected","In QC")))</f>
        <v/>
      </c>
      <c r="F88" s="5"/>
      <c r="G88" s="11" t="str">
        <f aca="false">IF(A88="","",'QC Log'!D88)</f>
        <v/>
      </c>
    </row>
    <row r="89" customFormat="false" ht="15" hidden="false" customHeight="false" outlineLevel="0" collapsed="false">
      <c r="A89" s="9" t="str">
        <f aca="false">IF('QC Log'!A89="","",'QC Log'!A89)</f>
        <v/>
      </c>
      <c r="B89" s="9" t="str">
        <f aca="false">IF(A89="","",'QC Log'!B89)</f>
        <v/>
      </c>
      <c r="C89" s="10" t="str">
        <f aca="false">IF(A89="","",'QC Log'!C89)</f>
        <v/>
      </c>
      <c r="D89" s="9" t="str">
        <f aca="false">IF(A89="","",'QC Log'!I89)</f>
        <v/>
      </c>
      <c r="E89" s="8" t="str">
        <f aca="false">IF(A89="","",IF(D89="Pass","Passed",IF(D89="Fail","Rejected","In QC")))</f>
        <v/>
      </c>
      <c r="F89" s="5"/>
      <c r="G89" s="11" t="str">
        <f aca="false">IF(A89="","",'QC Log'!D89)</f>
        <v/>
      </c>
    </row>
    <row r="90" customFormat="false" ht="15" hidden="false" customHeight="false" outlineLevel="0" collapsed="false">
      <c r="A90" s="9" t="str">
        <f aca="false">IF('QC Log'!A90="","",'QC Log'!A90)</f>
        <v/>
      </c>
      <c r="B90" s="9" t="str">
        <f aca="false">IF(A90="","",'QC Log'!B90)</f>
        <v/>
      </c>
      <c r="C90" s="10" t="str">
        <f aca="false">IF(A90="","",'QC Log'!C90)</f>
        <v/>
      </c>
      <c r="D90" s="9" t="str">
        <f aca="false">IF(A90="","",'QC Log'!I90)</f>
        <v/>
      </c>
      <c r="E90" s="8" t="str">
        <f aca="false">IF(A90="","",IF(D90="Pass","Passed",IF(D90="Fail","Rejected","In QC")))</f>
        <v/>
      </c>
      <c r="F90" s="5"/>
      <c r="G90" s="11" t="str">
        <f aca="false">IF(A90="","",'QC Log'!D90)</f>
        <v/>
      </c>
    </row>
    <row r="91" customFormat="false" ht="15" hidden="false" customHeight="false" outlineLevel="0" collapsed="false">
      <c r="A91" s="9" t="str">
        <f aca="false">IF('QC Log'!A91="","",'QC Log'!A91)</f>
        <v/>
      </c>
      <c r="B91" s="9" t="str">
        <f aca="false">IF(A91="","",'QC Log'!B91)</f>
        <v/>
      </c>
      <c r="C91" s="10" t="str">
        <f aca="false">IF(A91="","",'QC Log'!C91)</f>
        <v/>
      </c>
      <c r="D91" s="9" t="str">
        <f aca="false">IF(A91="","",'QC Log'!I91)</f>
        <v/>
      </c>
      <c r="E91" s="8" t="str">
        <f aca="false">IF(A91="","",IF(D91="Pass","Passed",IF(D91="Fail","Rejected","In QC")))</f>
        <v/>
      </c>
      <c r="F91" s="5"/>
      <c r="G91" s="11" t="str">
        <f aca="false">IF(A91="","",'QC Log'!D91)</f>
        <v/>
      </c>
    </row>
    <row r="92" customFormat="false" ht="15" hidden="false" customHeight="false" outlineLevel="0" collapsed="false">
      <c r="A92" s="9" t="str">
        <f aca="false">IF('QC Log'!A92="","",'QC Log'!A92)</f>
        <v/>
      </c>
      <c r="B92" s="9" t="str">
        <f aca="false">IF(A92="","",'QC Log'!B92)</f>
        <v/>
      </c>
      <c r="C92" s="10" t="str">
        <f aca="false">IF(A92="","",'QC Log'!C92)</f>
        <v/>
      </c>
      <c r="D92" s="9" t="str">
        <f aca="false">IF(A92="","",'QC Log'!I92)</f>
        <v/>
      </c>
      <c r="E92" s="8" t="str">
        <f aca="false">IF(A92="","",IF(D92="Pass","Passed",IF(D92="Fail","Rejected","In QC")))</f>
        <v/>
      </c>
      <c r="F92" s="5"/>
      <c r="G92" s="11" t="str">
        <f aca="false">IF(A92="","",'QC Log'!D92)</f>
        <v/>
      </c>
    </row>
    <row r="93" customFormat="false" ht="15" hidden="false" customHeight="false" outlineLevel="0" collapsed="false">
      <c r="A93" s="9" t="str">
        <f aca="false">IF('QC Log'!A93="","",'QC Log'!A93)</f>
        <v/>
      </c>
      <c r="B93" s="9" t="str">
        <f aca="false">IF(A93="","",'QC Log'!B93)</f>
        <v/>
      </c>
      <c r="C93" s="10" t="str">
        <f aca="false">IF(A93="","",'QC Log'!C93)</f>
        <v/>
      </c>
      <c r="D93" s="9" t="str">
        <f aca="false">IF(A93="","",'QC Log'!I93)</f>
        <v/>
      </c>
      <c r="E93" s="8" t="str">
        <f aca="false">IF(A93="","",IF(D93="Pass","Passed",IF(D93="Fail","Rejected","In QC")))</f>
        <v/>
      </c>
      <c r="F93" s="5"/>
      <c r="G93" s="11" t="str">
        <f aca="false">IF(A93="","",'QC Log'!D93)</f>
        <v/>
      </c>
    </row>
    <row r="94" customFormat="false" ht="15" hidden="false" customHeight="false" outlineLevel="0" collapsed="false">
      <c r="A94" s="9" t="str">
        <f aca="false">IF('QC Log'!A94="","",'QC Log'!A94)</f>
        <v/>
      </c>
      <c r="B94" s="9" t="str">
        <f aca="false">IF(A94="","",'QC Log'!B94)</f>
        <v/>
      </c>
      <c r="C94" s="10" t="str">
        <f aca="false">IF(A94="","",'QC Log'!C94)</f>
        <v/>
      </c>
      <c r="D94" s="9" t="str">
        <f aca="false">IF(A94="","",'QC Log'!I94)</f>
        <v/>
      </c>
      <c r="E94" s="8" t="str">
        <f aca="false">IF(A94="","",IF(D94="Pass","Passed",IF(D94="Fail","Rejected","In QC")))</f>
        <v/>
      </c>
      <c r="F94" s="5"/>
      <c r="G94" s="11" t="str">
        <f aca="false">IF(A94="","",'QC Log'!D94)</f>
        <v/>
      </c>
    </row>
    <row r="95" customFormat="false" ht="15" hidden="false" customHeight="false" outlineLevel="0" collapsed="false">
      <c r="A95" s="9" t="str">
        <f aca="false">IF('QC Log'!A95="","",'QC Log'!A95)</f>
        <v/>
      </c>
      <c r="B95" s="9" t="str">
        <f aca="false">IF(A95="","",'QC Log'!B95)</f>
        <v/>
      </c>
      <c r="C95" s="10" t="str">
        <f aca="false">IF(A95="","",'QC Log'!C95)</f>
        <v/>
      </c>
      <c r="D95" s="9" t="str">
        <f aca="false">IF(A95="","",'QC Log'!I95)</f>
        <v/>
      </c>
      <c r="E95" s="8" t="str">
        <f aca="false">IF(A95="","",IF(D95="Pass","Passed",IF(D95="Fail","Rejected","In QC")))</f>
        <v/>
      </c>
      <c r="F95" s="5"/>
      <c r="G95" s="11" t="str">
        <f aca="false">IF(A95="","",'QC Log'!D95)</f>
        <v/>
      </c>
    </row>
    <row r="96" customFormat="false" ht="15" hidden="false" customHeight="false" outlineLevel="0" collapsed="false">
      <c r="A96" s="9" t="str">
        <f aca="false">IF('QC Log'!A96="","",'QC Log'!A96)</f>
        <v/>
      </c>
      <c r="B96" s="9" t="str">
        <f aca="false">IF(A96="","",'QC Log'!B96)</f>
        <v/>
      </c>
      <c r="C96" s="10" t="str">
        <f aca="false">IF(A96="","",'QC Log'!C96)</f>
        <v/>
      </c>
      <c r="D96" s="9" t="str">
        <f aca="false">IF(A96="","",'QC Log'!I96)</f>
        <v/>
      </c>
      <c r="E96" s="8" t="str">
        <f aca="false">IF(A96="","",IF(D96="Pass","Passed",IF(D96="Fail","Rejected","In QC")))</f>
        <v/>
      </c>
      <c r="F96" s="5"/>
      <c r="G96" s="11" t="str">
        <f aca="false">IF(A96="","",'QC Log'!D96)</f>
        <v/>
      </c>
    </row>
    <row r="97" customFormat="false" ht="15" hidden="false" customHeight="false" outlineLevel="0" collapsed="false">
      <c r="A97" s="9" t="str">
        <f aca="false">IF('QC Log'!A97="","",'QC Log'!A97)</f>
        <v/>
      </c>
      <c r="B97" s="9" t="str">
        <f aca="false">IF(A97="","",'QC Log'!B97)</f>
        <v/>
      </c>
      <c r="C97" s="10" t="str">
        <f aca="false">IF(A97="","",'QC Log'!C97)</f>
        <v/>
      </c>
      <c r="D97" s="9" t="str">
        <f aca="false">IF(A97="","",'QC Log'!I97)</f>
        <v/>
      </c>
      <c r="E97" s="8" t="str">
        <f aca="false">IF(A97="","",IF(D97="Pass","Passed",IF(D97="Fail","Rejected","In QC")))</f>
        <v/>
      </c>
      <c r="F97" s="5"/>
      <c r="G97" s="11" t="str">
        <f aca="false">IF(A97="","",'QC Log'!D97)</f>
        <v/>
      </c>
    </row>
    <row r="98" customFormat="false" ht="15" hidden="false" customHeight="false" outlineLevel="0" collapsed="false">
      <c r="A98" s="9" t="str">
        <f aca="false">IF('QC Log'!A98="","",'QC Log'!A98)</f>
        <v/>
      </c>
      <c r="B98" s="9" t="str">
        <f aca="false">IF(A98="","",'QC Log'!B98)</f>
        <v/>
      </c>
      <c r="C98" s="10" t="str">
        <f aca="false">IF(A98="","",'QC Log'!C98)</f>
        <v/>
      </c>
      <c r="D98" s="9" t="str">
        <f aca="false">IF(A98="","",'QC Log'!I98)</f>
        <v/>
      </c>
      <c r="E98" s="8" t="str">
        <f aca="false">IF(A98="","",IF(D98="Pass","Passed",IF(D98="Fail","Rejected","In QC")))</f>
        <v/>
      </c>
      <c r="F98" s="5"/>
      <c r="G98" s="11" t="str">
        <f aca="false">IF(A98="","",'QC Log'!D98)</f>
        <v/>
      </c>
    </row>
    <row r="99" customFormat="false" ht="15" hidden="false" customHeight="false" outlineLevel="0" collapsed="false">
      <c r="A99" s="9" t="str">
        <f aca="false">IF('QC Log'!A99="","",'QC Log'!A99)</f>
        <v/>
      </c>
      <c r="B99" s="9" t="str">
        <f aca="false">IF(A99="","",'QC Log'!B99)</f>
        <v/>
      </c>
      <c r="C99" s="10" t="str">
        <f aca="false">IF(A99="","",'QC Log'!C99)</f>
        <v/>
      </c>
      <c r="D99" s="9" t="str">
        <f aca="false">IF(A99="","",'QC Log'!I99)</f>
        <v/>
      </c>
      <c r="E99" s="8" t="str">
        <f aca="false">IF(A99="","",IF(D99="Pass","Passed",IF(D99="Fail","Rejected","In QC")))</f>
        <v/>
      </c>
      <c r="F99" s="5"/>
      <c r="G99" s="11" t="str">
        <f aca="false">IF(A99="","",'QC Log'!D99)</f>
        <v/>
      </c>
    </row>
    <row r="100" customFormat="false" ht="15" hidden="false" customHeight="false" outlineLevel="0" collapsed="false">
      <c r="A100" s="9" t="str">
        <f aca="false">IF('QC Log'!A100="","",'QC Log'!A100)</f>
        <v/>
      </c>
      <c r="B100" s="9" t="str">
        <f aca="false">IF(A100="","",'QC Log'!B100)</f>
        <v/>
      </c>
      <c r="C100" s="10" t="str">
        <f aca="false">IF(A100="","",'QC Log'!C100)</f>
        <v/>
      </c>
      <c r="D100" s="9" t="str">
        <f aca="false">IF(A100="","",'QC Log'!I100)</f>
        <v/>
      </c>
      <c r="E100" s="8" t="str">
        <f aca="false">IF(A100="","",IF(D100="Pass","Passed",IF(D100="Fail","Rejected","In QC")))</f>
        <v/>
      </c>
      <c r="F100" s="5"/>
      <c r="G100" s="11" t="str">
        <f aca="false">IF(A100="","",'QC Log'!D100)</f>
        <v/>
      </c>
    </row>
    <row r="101" customFormat="false" ht="15" hidden="false" customHeight="false" outlineLevel="0" collapsed="false">
      <c r="A101" s="9" t="str">
        <f aca="false">IF('QC Log'!A101="","",'QC Log'!A101)</f>
        <v/>
      </c>
      <c r="B101" s="9" t="str">
        <f aca="false">IF(A101="","",'QC Log'!B101)</f>
        <v/>
      </c>
      <c r="C101" s="10" t="str">
        <f aca="false">IF(A101="","",'QC Log'!C101)</f>
        <v/>
      </c>
      <c r="D101" s="9" t="str">
        <f aca="false">IF(A101="","",'QC Log'!I101)</f>
        <v/>
      </c>
      <c r="E101" s="8" t="str">
        <f aca="false">IF(A101="","",IF(D101="Pass","Passed",IF(D101="Fail","Rejected","In QC")))</f>
        <v/>
      </c>
      <c r="F101" s="5"/>
      <c r="G101" s="11" t="str">
        <f aca="false">IF(A101="","",'QC Log'!D101)</f>
        <v/>
      </c>
    </row>
    <row r="102" customFormat="false" ht="15" hidden="false" customHeight="false" outlineLevel="0" collapsed="false">
      <c r="A102" s="9" t="str">
        <f aca="false">IF('QC Log'!A102="","",'QC Log'!A102)</f>
        <v/>
      </c>
      <c r="B102" s="9" t="str">
        <f aca="false">IF(A102="","",'QC Log'!B102)</f>
        <v/>
      </c>
      <c r="C102" s="10" t="str">
        <f aca="false">IF(A102="","",'QC Log'!C102)</f>
        <v/>
      </c>
      <c r="D102" s="9" t="str">
        <f aca="false">IF(A102="","",'QC Log'!I102)</f>
        <v/>
      </c>
      <c r="E102" s="8" t="str">
        <f aca="false">IF(A102="","",IF(D102="Pass","Passed",IF(D102="Fail","Rejected","In QC")))</f>
        <v/>
      </c>
      <c r="F102" s="5"/>
      <c r="G102" s="11" t="str">
        <f aca="false">IF(A102="","",'QC Log'!D102)</f>
        <v/>
      </c>
    </row>
    <row r="103" customFormat="false" ht="15" hidden="false" customHeight="false" outlineLevel="0" collapsed="false">
      <c r="A103" s="9" t="str">
        <f aca="false">IF('QC Log'!A103="","",'QC Log'!A103)</f>
        <v/>
      </c>
      <c r="B103" s="9" t="str">
        <f aca="false">IF(A103="","",'QC Log'!B103)</f>
        <v/>
      </c>
      <c r="C103" s="10" t="str">
        <f aca="false">IF(A103="","",'QC Log'!C103)</f>
        <v/>
      </c>
      <c r="D103" s="9" t="str">
        <f aca="false">IF(A103="","",'QC Log'!I103)</f>
        <v/>
      </c>
      <c r="E103" s="8" t="str">
        <f aca="false">IF(A103="","",IF(D103="Pass","Passed",IF(D103="Fail","Rejected","In QC")))</f>
        <v/>
      </c>
      <c r="F103" s="5"/>
      <c r="G103" s="11" t="str">
        <f aca="false">IF(A103="","",'QC Log'!D103)</f>
        <v/>
      </c>
    </row>
    <row r="104" customFormat="false" ht="15" hidden="false" customHeight="false" outlineLevel="0" collapsed="false">
      <c r="A104" s="9" t="str">
        <f aca="false">IF('QC Log'!A104="","",'QC Log'!A104)</f>
        <v/>
      </c>
      <c r="B104" s="9" t="str">
        <f aca="false">IF(A104="","",'QC Log'!B104)</f>
        <v/>
      </c>
      <c r="C104" s="10" t="str">
        <f aca="false">IF(A104="","",'QC Log'!C104)</f>
        <v/>
      </c>
      <c r="D104" s="9" t="str">
        <f aca="false">IF(A104="","",'QC Log'!I104)</f>
        <v/>
      </c>
      <c r="E104" s="8" t="str">
        <f aca="false">IF(A104="","",IF(D104="Pass","Passed",IF(D104="Fail","Rejected","In QC")))</f>
        <v/>
      </c>
      <c r="F104" s="5"/>
      <c r="G104" s="11" t="str">
        <f aca="false">IF(A104="","",'QC Log'!D104)</f>
        <v/>
      </c>
    </row>
    <row r="105" customFormat="false" ht="15" hidden="false" customHeight="false" outlineLevel="0" collapsed="false">
      <c r="A105" s="9" t="str">
        <f aca="false">IF('QC Log'!A105="","",'QC Log'!A105)</f>
        <v/>
      </c>
      <c r="B105" s="9" t="str">
        <f aca="false">IF(A105="","",'QC Log'!B105)</f>
        <v/>
      </c>
      <c r="C105" s="10" t="str">
        <f aca="false">IF(A105="","",'QC Log'!C105)</f>
        <v/>
      </c>
      <c r="D105" s="9" t="str">
        <f aca="false">IF(A105="","",'QC Log'!I105)</f>
        <v/>
      </c>
      <c r="E105" s="8" t="str">
        <f aca="false">IF(A105="","",IF(D105="Pass","Passed",IF(D105="Fail","Rejected","In QC")))</f>
        <v/>
      </c>
      <c r="F105" s="5"/>
      <c r="G105" s="11" t="str">
        <f aca="false">IF(A105="","",'QC Log'!D105)</f>
        <v/>
      </c>
    </row>
    <row r="106" customFormat="false" ht="15" hidden="false" customHeight="false" outlineLevel="0" collapsed="false">
      <c r="A106" s="9" t="str">
        <f aca="false">IF('QC Log'!A106="","",'QC Log'!A106)</f>
        <v/>
      </c>
      <c r="B106" s="9" t="str">
        <f aca="false">IF(A106="","",'QC Log'!B106)</f>
        <v/>
      </c>
      <c r="C106" s="10" t="str">
        <f aca="false">IF(A106="","",'QC Log'!C106)</f>
        <v/>
      </c>
      <c r="D106" s="9" t="str">
        <f aca="false">IF(A106="","",'QC Log'!I106)</f>
        <v/>
      </c>
      <c r="E106" s="8" t="str">
        <f aca="false">IF(A106="","",IF(D106="Pass","Passed",IF(D106="Fail","Rejected","In QC")))</f>
        <v/>
      </c>
      <c r="F106" s="5"/>
      <c r="G106" s="11" t="str">
        <f aca="false">IF(A106="","",'QC Log'!D106)</f>
        <v/>
      </c>
    </row>
    <row r="107" customFormat="false" ht="15" hidden="false" customHeight="false" outlineLevel="0" collapsed="false">
      <c r="A107" s="9" t="str">
        <f aca="false">IF('QC Log'!A107="","",'QC Log'!A107)</f>
        <v/>
      </c>
      <c r="B107" s="9" t="str">
        <f aca="false">IF(A107="","",'QC Log'!B107)</f>
        <v/>
      </c>
      <c r="C107" s="10" t="str">
        <f aca="false">IF(A107="","",'QC Log'!C107)</f>
        <v/>
      </c>
      <c r="D107" s="9" t="str">
        <f aca="false">IF(A107="","",'QC Log'!I107)</f>
        <v/>
      </c>
      <c r="E107" s="8" t="str">
        <f aca="false">IF(A107="","",IF(D107="Pass","Passed",IF(D107="Fail","Rejected","In QC")))</f>
        <v/>
      </c>
      <c r="F107" s="5"/>
      <c r="G107" s="11" t="str">
        <f aca="false">IF(A107="","",'QC Log'!D107)</f>
        <v/>
      </c>
    </row>
    <row r="108" customFormat="false" ht="15" hidden="false" customHeight="false" outlineLevel="0" collapsed="false">
      <c r="A108" s="9" t="str">
        <f aca="false">IF('QC Log'!A108="","",'QC Log'!A108)</f>
        <v/>
      </c>
      <c r="B108" s="9" t="str">
        <f aca="false">IF(A108="","",'QC Log'!B108)</f>
        <v/>
      </c>
      <c r="C108" s="10" t="str">
        <f aca="false">IF(A108="","",'QC Log'!C108)</f>
        <v/>
      </c>
      <c r="D108" s="9" t="str">
        <f aca="false">IF(A108="","",'QC Log'!I108)</f>
        <v/>
      </c>
      <c r="E108" s="8" t="str">
        <f aca="false">IF(A108="","",IF(D108="Pass","Passed",IF(D108="Fail","Rejected","In QC")))</f>
        <v/>
      </c>
      <c r="F108" s="5"/>
      <c r="G108" s="11" t="str">
        <f aca="false">IF(A108="","",'QC Log'!D108)</f>
        <v/>
      </c>
    </row>
    <row r="109" customFormat="false" ht="15" hidden="false" customHeight="false" outlineLevel="0" collapsed="false">
      <c r="A109" s="9" t="str">
        <f aca="false">IF('QC Log'!A109="","",'QC Log'!A109)</f>
        <v/>
      </c>
      <c r="B109" s="9" t="str">
        <f aca="false">IF(A109="","",'QC Log'!B109)</f>
        <v/>
      </c>
      <c r="C109" s="10" t="str">
        <f aca="false">IF(A109="","",'QC Log'!C109)</f>
        <v/>
      </c>
      <c r="D109" s="9" t="str">
        <f aca="false">IF(A109="","",'QC Log'!I109)</f>
        <v/>
      </c>
      <c r="E109" s="8" t="str">
        <f aca="false">IF(A109="","",IF(D109="Pass","Passed",IF(D109="Fail","Rejected","In QC")))</f>
        <v/>
      </c>
      <c r="F109" s="5"/>
      <c r="G109" s="11" t="str">
        <f aca="false">IF(A109="","",'QC Log'!D109)</f>
        <v/>
      </c>
    </row>
    <row r="110" customFormat="false" ht="15" hidden="false" customHeight="false" outlineLevel="0" collapsed="false">
      <c r="A110" s="9" t="str">
        <f aca="false">IF('QC Log'!A110="","",'QC Log'!A110)</f>
        <v/>
      </c>
      <c r="B110" s="9" t="str">
        <f aca="false">IF(A110="","",'QC Log'!B110)</f>
        <v/>
      </c>
      <c r="C110" s="10" t="str">
        <f aca="false">IF(A110="","",'QC Log'!C110)</f>
        <v/>
      </c>
      <c r="D110" s="9" t="str">
        <f aca="false">IF(A110="","",'QC Log'!I110)</f>
        <v/>
      </c>
      <c r="E110" s="8" t="str">
        <f aca="false">IF(A110="","",IF(D110="Pass","Passed",IF(D110="Fail","Rejected","In QC")))</f>
        <v/>
      </c>
      <c r="F110" s="5"/>
      <c r="G110" s="11" t="str">
        <f aca="false">IF(A110="","",'QC Log'!D110)</f>
        <v/>
      </c>
    </row>
    <row r="111" customFormat="false" ht="15" hidden="false" customHeight="false" outlineLevel="0" collapsed="false">
      <c r="A111" s="9" t="str">
        <f aca="false">IF('QC Log'!A111="","",'QC Log'!A111)</f>
        <v/>
      </c>
      <c r="B111" s="9" t="str">
        <f aca="false">IF(A111="","",'QC Log'!B111)</f>
        <v/>
      </c>
      <c r="C111" s="10" t="str">
        <f aca="false">IF(A111="","",'QC Log'!C111)</f>
        <v/>
      </c>
      <c r="D111" s="9" t="str">
        <f aca="false">IF(A111="","",'QC Log'!I111)</f>
        <v/>
      </c>
      <c r="E111" s="8" t="str">
        <f aca="false">IF(A111="","",IF(D111="Pass","Passed",IF(D111="Fail","Rejected","In QC")))</f>
        <v/>
      </c>
      <c r="F111" s="5"/>
      <c r="G111" s="11" t="str">
        <f aca="false">IF(A111="","",'QC Log'!D111)</f>
        <v/>
      </c>
    </row>
    <row r="112" customFormat="false" ht="15" hidden="false" customHeight="false" outlineLevel="0" collapsed="false">
      <c r="A112" s="9" t="str">
        <f aca="false">IF('QC Log'!A112="","",'QC Log'!A112)</f>
        <v/>
      </c>
      <c r="B112" s="9" t="str">
        <f aca="false">IF(A112="","",'QC Log'!B112)</f>
        <v/>
      </c>
      <c r="C112" s="10" t="str">
        <f aca="false">IF(A112="","",'QC Log'!C112)</f>
        <v/>
      </c>
      <c r="D112" s="9" t="str">
        <f aca="false">IF(A112="","",'QC Log'!I112)</f>
        <v/>
      </c>
      <c r="E112" s="8" t="str">
        <f aca="false">IF(A112="","",IF(D112="Pass","Passed",IF(D112="Fail","Rejected","In QC")))</f>
        <v/>
      </c>
      <c r="F112" s="5"/>
      <c r="G112" s="11" t="str">
        <f aca="false">IF(A112="","",'QC Log'!D112)</f>
        <v/>
      </c>
    </row>
    <row r="113" customFormat="false" ht="15" hidden="false" customHeight="false" outlineLevel="0" collapsed="false">
      <c r="A113" s="9" t="str">
        <f aca="false">IF('QC Log'!A113="","",'QC Log'!A113)</f>
        <v/>
      </c>
      <c r="B113" s="9" t="str">
        <f aca="false">IF(A113="","",'QC Log'!B113)</f>
        <v/>
      </c>
      <c r="C113" s="10" t="str">
        <f aca="false">IF(A113="","",'QC Log'!C113)</f>
        <v/>
      </c>
      <c r="D113" s="9" t="str">
        <f aca="false">IF(A113="","",'QC Log'!I113)</f>
        <v/>
      </c>
      <c r="E113" s="8" t="str">
        <f aca="false">IF(A113="","",IF(D113="Pass","Passed",IF(D113="Fail","Rejected","In QC")))</f>
        <v/>
      </c>
      <c r="F113" s="5"/>
      <c r="G113" s="11" t="str">
        <f aca="false">IF(A113="","",'QC Log'!D113)</f>
        <v/>
      </c>
    </row>
    <row r="114" customFormat="false" ht="15" hidden="false" customHeight="false" outlineLevel="0" collapsed="false">
      <c r="A114" s="9" t="str">
        <f aca="false">IF('QC Log'!A114="","",'QC Log'!A114)</f>
        <v/>
      </c>
      <c r="B114" s="9" t="str">
        <f aca="false">IF(A114="","",'QC Log'!B114)</f>
        <v/>
      </c>
      <c r="C114" s="10" t="str">
        <f aca="false">IF(A114="","",'QC Log'!C114)</f>
        <v/>
      </c>
      <c r="D114" s="9" t="str">
        <f aca="false">IF(A114="","",'QC Log'!I114)</f>
        <v/>
      </c>
      <c r="E114" s="8" t="str">
        <f aca="false">IF(A114="","",IF(D114="Pass","Passed",IF(D114="Fail","Rejected","In QC")))</f>
        <v/>
      </c>
      <c r="F114" s="5"/>
      <c r="G114" s="11" t="str">
        <f aca="false">IF(A114="","",'QC Log'!D114)</f>
        <v/>
      </c>
    </row>
    <row r="115" customFormat="false" ht="15" hidden="false" customHeight="false" outlineLevel="0" collapsed="false">
      <c r="A115" s="9" t="str">
        <f aca="false">IF('QC Log'!A115="","",'QC Log'!A115)</f>
        <v/>
      </c>
      <c r="B115" s="9" t="str">
        <f aca="false">IF(A115="","",'QC Log'!B115)</f>
        <v/>
      </c>
      <c r="C115" s="10" t="str">
        <f aca="false">IF(A115="","",'QC Log'!C115)</f>
        <v/>
      </c>
      <c r="D115" s="9" t="str">
        <f aca="false">IF(A115="","",'QC Log'!I115)</f>
        <v/>
      </c>
      <c r="E115" s="8" t="str">
        <f aca="false">IF(A115="","",IF(D115="Pass","Passed",IF(D115="Fail","Rejected","In QC")))</f>
        <v/>
      </c>
      <c r="F115" s="5"/>
      <c r="G115" s="11" t="str">
        <f aca="false">IF(A115="","",'QC Log'!D115)</f>
        <v/>
      </c>
    </row>
    <row r="116" customFormat="false" ht="15" hidden="false" customHeight="false" outlineLevel="0" collapsed="false">
      <c r="A116" s="9" t="str">
        <f aca="false">IF('QC Log'!A116="","",'QC Log'!A116)</f>
        <v/>
      </c>
      <c r="B116" s="9" t="str">
        <f aca="false">IF(A116="","",'QC Log'!B116)</f>
        <v/>
      </c>
      <c r="C116" s="10" t="str">
        <f aca="false">IF(A116="","",'QC Log'!C116)</f>
        <v/>
      </c>
      <c r="D116" s="9" t="str">
        <f aca="false">IF(A116="","",'QC Log'!I116)</f>
        <v/>
      </c>
      <c r="E116" s="8" t="str">
        <f aca="false">IF(A116="","",IF(D116="Pass","Passed",IF(D116="Fail","Rejected","In QC")))</f>
        <v/>
      </c>
      <c r="F116" s="5"/>
      <c r="G116" s="11" t="str">
        <f aca="false">IF(A116="","",'QC Log'!D116)</f>
        <v/>
      </c>
    </row>
    <row r="117" customFormat="false" ht="15" hidden="false" customHeight="false" outlineLevel="0" collapsed="false">
      <c r="A117" s="9" t="str">
        <f aca="false">IF('QC Log'!A117="","",'QC Log'!A117)</f>
        <v/>
      </c>
      <c r="B117" s="9" t="str">
        <f aca="false">IF(A117="","",'QC Log'!B117)</f>
        <v/>
      </c>
      <c r="C117" s="10" t="str">
        <f aca="false">IF(A117="","",'QC Log'!C117)</f>
        <v/>
      </c>
      <c r="D117" s="9" t="str">
        <f aca="false">IF(A117="","",'QC Log'!I117)</f>
        <v/>
      </c>
      <c r="E117" s="8" t="str">
        <f aca="false">IF(A117="","",IF(D117="Pass","Passed",IF(D117="Fail","Rejected","In QC")))</f>
        <v/>
      </c>
      <c r="F117" s="5"/>
      <c r="G117" s="11" t="str">
        <f aca="false">IF(A117="","",'QC Log'!D117)</f>
        <v/>
      </c>
    </row>
    <row r="118" customFormat="false" ht="15" hidden="false" customHeight="false" outlineLevel="0" collapsed="false">
      <c r="A118" s="9" t="str">
        <f aca="false">IF('QC Log'!A118="","",'QC Log'!A118)</f>
        <v/>
      </c>
      <c r="B118" s="9" t="str">
        <f aca="false">IF(A118="","",'QC Log'!B118)</f>
        <v/>
      </c>
      <c r="C118" s="10" t="str">
        <f aca="false">IF(A118="","",'QC Log'!C118)</f>
        <v/>
      </c>
      <c r="D118" s="9" t="str">
        <f aca="false">IF(A118="","",'QC Log'!I118)</f>
        <v/>
      </c>
      <c r="E118" s="8" t="str">
        <f aca="false">IF(A118="","",IF(D118="Pass","Passed",IF(D118="Fail","Rejected","In QC")))</f>
        <v/>
      </c>
      <c r="F118" s="5"/>
      <c r="G118" s="11" t="str">
        <f aca="false">IF(A118="","",'QC Log'!D118)</f>
        <v/>
      </c>
    </row>
    <row r="119" customFormat="false" ht="15" hidden="false" customHeight="false" outlineLevel="0" collapsed="false">
      <c r="A119" s="9" t="str">
        <f aca="false">IF('QC Log'!A119="","",'QC Log'!A119)</f>
        <v/>
      </c>
      <c r="B119" s="9" t="str">
        <f aca="false">IF(A119="","",'QC Log'!B119)</f>
        <v/>
      </c>
      <c r="C119" s="10" t="str">
        <f aca="false">IF(A119="","",'QC Log'!C119)</f>
        <v/>
      </c>
      <c r="D119" s="9" t="str">
        <f aca="false">IF(A119="","",'QC Log'!I119)</f>
        <v/>
      </c>
      <c r="E119" s="8" t="str">
        <f aca="false">IF(A119="","",IF(D119="Pass","Passed",IF(D119="Fail","Rejected","In QC")))</f>
        <v/>
      </c>
      <c r="F119" s="5"/>
      <c r="G119" s="11" t="str">
        <f aca="false">IF(A119="","",'QC Log'!D119)</f>
        <v/>
      </c>
    </row>
    <row r="120" customFormat="false" ht="15" hidden="false" customHeight="false" outlineLevel="0" collapsed="false">
      <c r="A120" s="9" t="str">
        <f aca="false">IF('QC Log'!A120="","",'QC Log'!A120)</f>
        <v/>
      </c>
      <c r="B120" s="9" t="str">
        <f aca="false">IF(A120="","",'QC Log'!B120)</f>
        <v/>
      </c>
      <c r="C120" s="10" t="str">
        <f aca="false">IF(A120="","",'QC Log'!C120)</f>
        <v/>
      </c>
      <c r="D120" s="9" t="str">
        <f aca="false">IF(A120="","",'QC Log'!I120)</f>
        <v/>
      </c>
      <c r="E120" s="8" t="str">
        <f aca="false">IF(A120="","",IF(D120="Pass","Passed",IF(D120="Fail","Rejected","In QC")))</f>
        <v/>
      </c>
      <c r="F120" s="5"/>
      <c r="G120" s="11" t="str">
        <f aca="false">IF(A120="","",'QC Log'!D120)</f>
        <v/>
      </c>
    </row>
    <row r="121" customFormat="false" ht="15" hidden="false" customHeight="false" outlineLevel="0" collapsed="false">
      <c r="A121" s="9" t="str">
        <f aca="false">IF('QC Log'!A121="","",'QC Log'!A121)</f>
        <v/>
      </c>
      <c r="B121" s="9" t="str">
        <f aca="false">IF(A121="","",'QC Log'!B121)</f>
        <v/>
      </c>
      <c r="C121" s="10" t="str">
        <f aca="false">IF(A121="","",'QC Log'!C121)</f>
        <v/>
      </c>
      <c r="D121" s="9" t="str">
        <f aca="false">IF(A121="","",'QC Log'!I121)</f>
        <v/>
      </c>
      <c r="E121" s="8" t="str">
        <f aca="false">IF(A121="","",IF(D121="Pass","Passed",IF(D121="Fail","Rejected","In QC")))</f>
        <v/>
      </c>
      <c r="F121" s="5"/>
      <c r="G121" s="11" t="str">
        <f aca="false">IF(A121="","",'QC Log'!D121)</f>
        <v/>
      </c>
    </row>
    <row r="122" customFormat="false" ht="15" hidden="false" customHeight="false" outlineLevel="0" collapsed="false">
      <c r="A122" s="9" t="str">
        <f aca="false">IF('QC Log'!A122="","",'QC Log'!A122)</f>
        <v/>
      </c>
      <c r="B122" s="9" t="str">
        <f aca="false">IF(A122="","",'QC Log'!B122)</f>
        <v/>
      </c>
      <c r="C122" s="10" t="str">
        <f aca="false">IF(A122="","",'QC Log'!C122)</f>
        <v/>
      </c>
      <c r="D122" s="9" t="str">
        <f aca="false">IF(A122="","",'QC Log'!I122)</f>
        <v/>
      </c>
      <c r="E122" s="8" t="str">
        <f aca="false">IF(A122="","",IF(D122="Pass","Passed",IF(D122="Fail","Rejected","In QC")))</f>
        <v/>
      </c>
      <c r="F122" s="5"/>
      <c r="G122" s="11" t="str">
        <f aca="false">IF(A122="","",'QC Log'!D122)</f>
        <v/>
      </c>
    </row>
    <row r="123" customFormat="false" ht="15" hidden="false" customHeight="false" outlineLevel="0" collapsed="false">
      <c r="A123" s="9" t="str">
        <f aca="false">IF('QC Log'!A123="","",'QC Log'!A123)</f>
        <v/>
      </c>
      <c r="B123" s="9" t="str">
        <f aca="false">IF(A123="","",'QC Log'!B123)</f>
        <v/>
      </c>
      <c r="C123" s="10" t="str">
        <f aca="false">IF(A123="","",'QC Log'!C123)</f>
        <v/>
      </c>
      <c r="D123" s="9" t="str">
        <f aca="false">IF(A123="","",'QC Log'!I123)</f>
        <v/>
      </c>
      <c r="E123" s="8" t="str">
        <f aca="false">IF(A123="","",IF(D123="Pass","Passed",IF(D123="Fail","Rejected","In QC")))</f>
        <v/>
      </c>
      <c r="F123" s="5"/>
      <c r="G123" s="11" t="str">
        <f aca="false">IF(A123="","",'QC Log'!D123)</f>
        <v/>
      </c>
    </row>
    <row r="124" customFormat="false" ht="15" hidden="false" customHeight="false" outlineLevel="0" collapsed="false">
      <c r="A124" s="9" t="str">
        <f aca="false">IF('QC Log'!A124="","",'QC Log'!A124)</f>
        <v/>
      </c>
      <c r="B124" s="9" t="str">
        <f aca="false">IF(A124="","",'QC Log'!B124)</f>
        <v/>
      </c>
      <c r="C124" s="10" t="str">
        <f aca="false">IF(A124="","",'QC Log'!C124)</f>
        <v/>
      </c>
      <c r="D124" s="9" t="str">
        <f aca="false">IF(A124="","",'QC Log'!I124)</f>
        <v/>
      </c>
      <c r="E124" s="8" t="str">
        <f aca="false">IF(A124="","",IF(D124="Pass","Passed",IF(D124="Fail","Rejected","In QC")))</f>
        <v/>
      </c>
      <c r="F124" s="5"/>
      <c r="G124" s="11" t="str">
        <f aca="false">IF(A124="","",'QC Log'!D124)</f>
        <v/>
      </c>
    </row>
    <row r="125" customFormat="false" ht="15" hidden="false" customHeight="false" outlineLevel="0" collapsed="false">
      <c r="A125" s="9" t="str">
        <f aca="false">IF('QC Log'!A125="","",'QC Log'!A125)</f>
        <v/>
      </c>
      <c r="B125" s="9" t="str">
        <f aca="false">IF(A125="","",'QC Log'!B125)</f>
        <v/>
      </c>
      <c r="C125" s="10" t="str">
        <f aca="false">IF(A125="","",'QC Log'!C125)</f>
        <v/>
      </c>
      <c r="D125" s="9" t="str">
        <f aca="false">IF(A125="","",'QC Log'!I125)</f>
        <v/>
      </c>
      <c r="E125" s="8" t="str">
        <f aca="false">IF(A125="","",IF(D125="Pass","Passed",IF(D125="Fail","Rejected","In QC")))</f>
        <v/>
      </c>
      <c r="F125" s="5"/>
      <c r="G125" s="11" t="str">
        <f aca="false">IF(A125="","",'QC Log'!D125)</f>
        <v/>
      </c>
    </row>
    <row r="126" customFormat="false" ht="15" hidden="false" customHeight="false" outlineLevel="0" collapsed="false">
      <c r="A126" s="9" t="str">
        <f aca="false">IF('QC Log'!A126="","",'QC Log'!A126)</f>
        <v/>
      </c>
      <c r="B126" s="9" t="str">
        <f aca="false">IF(A126="","",'QC Log'!B126)</f>
        <v/>
      </c>
      <c r="C126" s="10" t="str">
        <f aca="false">IF(A126="","",'QC Log'!C126)</f>
        <v/>
      </c>
      <c r="D126" s="9" t="str">
        <f aca="false">IF(A126="","",'QC Log'!I126)</f>
        <v/>
      </c>
      <c r="E126" s="8" t="str">
        <f aca="false">IF(A126="","",IF(D126="Pass","Passed",IF(D126="Fail","Rejected","In QC")))</f>
        <v/>
      </c>
      <c r="F126" s="5"/>
      <c r="G126" s="11" t="str">
        <f aca="false">IF(A126="","",'QC Log'!D126)</f>
        <v/>
      </c>
    </row>
    <row r="127" customFormat="false" ht="15" hidden="false" customHeight="false" outlineLevel="0" collapsed="false">
      <c r="A127" s="9" t="str">
        <f aca="false">IF('QC Log'!A127="","",'QC Log'!A127)</f>
        <v/>
      </c>
      <c r="B127" s="9" t="str">
        <f aca="false">IF(A127="","",'QC Log'!B127)</f>
        <v/>
      </c>
      <c r="C127" s="10" t="str">
        <f aca="false">IF(A127="","",'QC Log'!C127)</f>
        <v/>
      </c>
      <c r="D127" s="9" t="str">
        <f aca="false">IF(A127="","",'QC Log'!I127)</f>
        <v/>
      </c>
      <c r="E127" s="8" t="str">
        <f aca="false">IF(A127="","",IF(D127="Pass","Passed",IF(D127="Fail","Rejected","In QC")))</f>
        <v/>
      </c>
      <c r="F127" s="5"/>
      <c r="G127" s="11" t="str">
        <f aca="false">IF(A127="","",'QC Log'!D127)</f>
        <v/>
      </c>
    </row>
    <row r="128" customFormat="false" ht="15" hidden="false" customHeight="false" outlineLevel="0" collapsed="false">
      <c r="A128" s="9" t="str">
        <f aca="false">IF('QC Log'!A128="","",'QC Log'!A128)</f>
        <v/>
      </c>
      <c r="B128" s="9" t="str">
        <f aca="false">IF(A128="","",'QC Log'!B128)</f>
        <v/>
      </c>
      <c r="C128" s="10" t="str">
        <f aca="false">IF(A128="","",'QC Log'!C128)</f>
        <v/>
      </c>
      <c r="D128" s="9" t="str">
        <f aca="false">IF(A128="","",'QC Log'!I128)</f>
        <v/>
      </c>
      <c r="E128" s="8" t="str">
        <f aca="false">IF(A128="","",IF(D128="Pass","Passed",IF(D128="Fail","Rejected","In QC")))</f>
        <v/>
      </c>
      <c r="F128" s="5"/>
      <c r="G128" s="11" t="str">
        <f aca="false">IF(A128="","",'QC Log'!D128)</f>
        <v/>
      </c>
    </row>
    <row r="129" customFormat="false" ht="15" hidden="false" customHeight="false" outlineLevel="0" collapsed="false">
      <c r="A129" s="9" t="str">
        <f aca="false">IF('QC Log'!A129="","",'QC Log'!A129)</f>
        <v/>
      </c>
      <c r="B129" s="9" t="str">
        <f aca="false">IF(A129="","",'QC Log'!B129)</f>
        <v/>
      </c>
      <c r="C129" s="10" t="str">
        <f aca="false">IF(A129="","",'QC Log'!C129)</f>
        <v/>
      </c>
      <c r="D129" s="9" t="str">
        <f aca="false">IF(A129="","",'QC Log'!I129)</f>
        <v/>
      </c>
      <c r="E129" s="8" t="str">
        <f aca="false">IF(A129="","",IF(D129="Pass","Passed",IF(D129="Fail","Rejected","In QC")))</f>
        <v/>
      </c>
      <c r="F129" s="5"/>
      <c r="G129" s="11" t="str">
        <f aca="false">IF(A129="","",'QC Log'!D129)</f>
        <v/>
      </c>
    </row>
    <row r="130" customFormat="false" ht="15" hidden="false" customHeight="false" outlineLevel="0" collapsed="false">
      <c r="A130" s="9" t="str">
        <f aca="false">IF('QC Log'!A130="","",'QC Log'!A130)</f>
        <v/>
      </c>
      <c r="B130" s="9" t="str">
        <f aca="false">IF(A130="","",'QC Log'!B130)</f>
        <v/>
      </c>
      <c r="C130" s="10" t="str">
        <f aca="false">IF(A130="","",'QC Log'!C130)</f>
        <v/>
      </c>
      <c r="D130" s="9" t="str">
        <f aca="false">IF(A130="","",'QC Log'!I130)</f>
        <v/>
      </c>
      <c r="E130" s="8" t="str">
        <f aca="false">IF(A130="","",IF(D130="Pass","Passed",IF(D130="Fail","Rejected","In QC")))</f>
        <v/>
      </c>
      <c r="F130" s="5"/>
      <c r="G130" s="11" t="str">
        <f aca="false">IF(A130="","",'QC Log'!D130)</f>
        <v/>
      </c>
    </row>
    <row r="131" customFormat="false" ht="15" hidden="false" customHeight="false" outlineLevel="0" collapsed="false">
      <c r="A131" s="9" t="str">
        <f aca="false">IF('QC Log'!A131="","",'QC Log'!A131)</f>
        <v/>
      </c>
      <c r="B131" s="9" t="str">
        <f aca="false">IF(A131="","",'QC Log'!B131)</f>
        <v/>
      </c>
      <c r="C131" s="10" t="str">
        <f aca="false">IF(A131="","",'QC Log'!C131)</f>
        <v/>
      </c>
      <c r="D131" s="9" t="str">
        <f aca="false">IF(A131="","",'QC Log'!I131)</f>
        <v/>
      </c>
      <c r="E131" s="8" t="str">
        <f aca="false">IF(A131="","",IF(D131="Pass","Passed",IF(D131="Fail","Rejected","In QC")))</f>
        <v/>
      </c>
      <c r="F131" s="5"/>
      <c r="G131" s="11" t="str">
        <f aca="false">IF(A131="","",'QC Log'!D131)</f>
        <v/>
      </c>
    </row>
    <row r="132" customFormat="false" ht="15" hidden="false" customHeight="false" outlineLevel="0" collapsed="false">
      <c r="A132" s="9" t="str">
        <f aca="false">IF('QC Log'!A132="","",'QC Log'!A132)</f>
        <v/>
      </c>
      <c r="B132" s="9" t="str">
        <f aca="false">IF(A132="","",'QC Log'!B132)</f>
        <v/>
      </c>
      <c r="C132" s="10" t="str">
        <f aca="false">IF(A132="","",'QC Log'!C132)</f>
        <v/>
      </c>
      <c r="D132" s="9" t="str">
        <f aca="false">IF(A132="","",'QC Log'!I132)</f>
        <v/>
      </c>
      <c r="E132" s="8" t="str">
        <f aca="false">IF(A132="","",IF(D132="Pass","Passed",IF(D132="Fail","Rejected","In QC")))</f>
        <v/>
      </c>
      <c r="F132" s="5"/>
      <c r="G132" s="11" t="str">
        <f aca="false">IF(A132="","",'QC Log'!D132)</f>
        <v/>
      </c>
    </row>
    <row r="133" customFormat="false" ht="15" hidden="false" customHeight="false" outlineLevel="0" collapsed="false">
      <c r="A133" s="9" t="str">
        <f aca="false">IF('QC Log'!A133="","",'QC Log'!A133)</f>
        <v/>
      </c>
      <c r="B133" s="9" t="str">
        <f aca="false">IF(A133="","",'QC Log'!B133)</f>
        <v/>
      </c>
      <c r="C133" s="10" t="str">
        <f aca="false">IF(A133="","",'QC Log'!C133)</f>
        <v/>
      </c>
      <c r="D133" s="9" t="str">
        <f aca="false">IF(A133="","",'QC Log'!I133)</f>
        <v/>
      </c>
      <c r="E133" s="8" t="str">
        <f aca="false">IF(A133="","",IF(D133="Pass","Passed",IF(D133="Fail","Rejected","In QC")))</f>
        <v/>
      </c>
      <c r="F133" s="5"/>
      <c r="G133" s="11" t="str">
        <f aca="false">IF(A133="","",'QC Log'!D133)</f>
        <v/>
      </c>
    </row>
    <row r="134" customFormat="false" ht="15" hidden="false" customHeight="false" outlineLevel="0" collapsed="false">
      <c r="A134" s="9" t="str">
        <f aca="false">IF('QC Log'!A134="","",'QC Log'!A134)</f>
        <v/>
      </c>
      <c r="B134" s="9" t="str">
        <f aca="false">IF(A134="","",'QC Log'!B134)</f>
        <v/>
      </c>
      <c r="C134" s="10" t="str">
        <f aca="false">IF(A134="","",'QC Log'!C134)</f>
        <v/>
      </c>
      <c r="D134" s="9" t="str">
        <f aca="false">IF(A134="","",'QC Log'!I134)</f>
        <v/>
      </c>
      <c r="E134" s="8" t="str">
        <f aca="false">IF(A134="","",IF(D134="Pass","Passed",IF(D134="Fail","Rejected","In QC")))</f>
        <v/>
      </c>
      <c r="F134" s="5"/>
      <c r="G134" s="11" t="str">
        <f aca="false">IF(A134="","",'QC Log'!D134)</f>
        <v/>
      </c>
    </row>
    <row r="135" customFormat="false" ht="15" hidden="false" customHeight="false" outlineLevel="0" collapsed="false">
      <c r="A135" s="9" t="str">
        <f aca="false">IF('QC Log'!A135="","",'QC Log'!A135)</f>
        <v/>
      </c>
      <c r="B135" s="9" t="str">
        <f aca="false">IF(A135="","",'QC Log'!B135)</f>
        <v/>
      </c>
      <c r="C135" s="10" t="str">
        <f aca="false">IF(A135="","",'QC Log'!C135)</f>
        <v/>
      </c>
      <c r="D135" s="9" t="str">
        <f aca="false">IF(A135="","",'QC Log'!I135)</f>
        <v/>
      </c>
      <c r="E135" s="8" t="str">
        <f aca="false">IF(A135="","",IF(D135="Pass","Passed",IF(D135="Fail","Rejected","In QC")))</f>
        <v/>
      </c>
      <c r="F135" s="5"/>
      <c r="G135" s="11" t="str">
        <f aca="false">IF(A135="","",'QC Log'!D135)</f>
        <v/>
      </c>
    </row>
    <row r="136" customFormat="false" ht="15" hidden="false" customHeight="false" outlineLevel="0" collapsed="false">
      <c r="A136" s="9" t="str">
        <f aca="false">IF('QC Log'!A136="","",'QC Log'!A136)</f>
        <v/>
      </c>
      <c r="B136" s="9" t="str">
        <f aca="false">IF(A136="","",'QC Log'!B136)</f>
        <v/>
      </c>
      <c r="C136" s="10" t="str">
        <f aca="false">IF(A136="","",'QC Log'!C136)</f>
        <v/>
      </c>
      <c r="D136" s="9" t="str">
        <f aca="false">IF(A136="","",'QC Log'!I136)</f>
        <v/>
      </c>
      <c r="E136" s="8" t="str">
        <f aca="false">IF(A136="","",IF(D136="Pass","Passed",IF(D136="Fail","Rejected","In QC")))</f>
        <v/>
      </c>
      <c r="F136" s="5"/>
      <c r="G136" s="11" t="str">
        <f aca="false">IF(A136="","",'QC Log'!D136)</f>
        <v/>
      </c>
    </row>
    <row r="137" customFormat="false" ht="15" hidden="false" customHeight="false" outlineLevel="0" collapsed="false">
      <c r="A137" s="9" t="str">
        <f aca="false">IF('QC Log'!A137="","",'QC Log'!A137)</f>
        <v/>
      </c>
      <c r="B137" s="9" t="str">
        <f aca="false">IF(A137="","",'QC Log'!B137)</f>
        <v/>
      </c>
      <c r="C137" s="10" t="str">
        <f aca="false">IF(A137="","",'QC Log'!C137)</f>
        <v/>
      </c>
      <c r="D137" s="9" t="str">
        <f aca="false">IF(A137="","",'QC Log'!I137)</f>
        <v/>
      </c>
      <c r="E137" s="8" t="str">
        <f aca="false">IF(A137="","",IF(D137="Pass","Passed",IF(D137="Fail","Rejected","In QC")))</f>
        <v/>
      </c>
      <c r="F137" s="5"/>
      <c r="G137" s="11" t="str">
        <f aca="false">IF(A137="","",'QC Log'!D137)</f>
        <v/>
      </c>
    </row>
    <row r="138" customFormat="false" ht="15" hidden="false" customHeight="false" outlineLevel="0" collapsed="false">
      <c r="A138" s="9" t="str">
        <f aca="false">IF('QC Log'!A138="","",'QC Log'!A138)</f>
        <v/>
      </c>
      <c r="B138" s="9" t="str">
        <f aca="false">IF(A138="","",'QC Log'!B138)</f>
        <v/>
      </c>
      <c r="C138" s="10" t="str">
        <f aca="false">IF(A138="","",'QC Log'!C138)</f>
        <v/>
      </c>
      <c r="D138" s="9" t="str">
        <f aca="false">IF(A138="","",'QC Log'!I138)</f>
        <v/>
      </c>
      <c r="E138" s="8" t="str">
        <f aca="false">IF(A138="","",IF(D138="Pass","Passed",IF(D138="Fail","Rejected","In QC")))</f>
        <v/>
      </c>
      <c r="F138" s="5"/>
      <c r="G138" s="11" t="str">
        <f aca="false">IF(A138="","",'QC Log'!D138)</f>
        <v/>
      </c>
    </row>
    <row r="139" customFormat="false" ht="15" hidden="false" customHeight="false" outlineLevel="0" collapsed="false">
      <c r="A139" s="9" t="str">
        <f aca="false">IF('QC Log'!A139="","",'QC Log'!A139)</f>
        <v/>
      </c>
      <c r="B139" s="9" t="str">
        <f aca="false">IF(A139="","",'QC Log'!B139)</f>
        <v/>
      </c>
      <c r="C139" s="10" t="str">
        <f aca="false">IF(A139="","",'QC Log'!C139)</f>
        <v/>
      </c>
      <c r="D139" s="9" t="str">
        <f aca="false">IF(A139="","",'QC Log'!I139)</f>
        <v/>
      </c>
      <c r="E139" s="8" t="str">
        <f aca="false">IF(A139="","",IF(D139="Pass","Passed",IF(D139="Fail","Rejected","In QC")))</f>
        <v/>
      </c>
      <c r="F139" s="5"/>
      <c r="G139" s="11" t="str">
        <f aca="false">IF(A139="","",'QC Log'!D139)</f>
        <v/>
      </c>
    </row>
    <row r="140" customFormat="false" ht="15" hidden="false" customHeight="false" outlineLevel="0" collapsed="false">
      <c r="A140" s="9" t="str">
        <f aca="false">IF('QC Log'!A140="","",'QC Log'!A140)</f>
        <v/>
      </c>
      <c r="B140" s="9" t="str">
        <f aca="false">IF(A140="","",'QC Log'!B140)</f>
        <v/>
      </c>
      <c r="C140" s="10" t="str">
        <f aca="false">IF(A140="","",'QC Log'!C140)</f>
        <v/>
      </c>
      <c r="D140" s="9" t="str">
        <f aca="false">IF(A140="","",'QC Log'!I140)</f>
        <v/>
      </c>
      <c r="E140" s="8" t="str">
        <f aca="false">IF(A140="","",IF(D140="Pass","Passed",IF(D140="Fail","Rejected","In QC")))</f>
        <v/>
      </c>
      <c r="F140" s="5"/>
      <c r="G140" s="11" t="str">
        <f aca="false">IF(A140="","",'QC Log'!D140)</f>
        <v/>
      </c>
    </row>
    <row r="141" customFormat="false" ht="15" hidden="false" customHeight="false" outlineLevel="0" collapsed="false">
      <c r="A141" s="9" t="str">
        <f aca="false">IF('QC Log'!A141="","",'QC Log'!A141)</f>
        <v/>
      </c>
      <c r="B141" s="9" t="str">
        <f aca="false">IF(A141="","",'QC Log'!B141)</f>
        <v/>
      </c>
      <c r="C141" s="10" t="str">
        <f aca="false">IF(A141="","",'QC Log'!C141)</f>
        <v/>
      </c>
      <c r="D141" s="9" t="str">
        <f aca="false">IF(A141="","",'QC Log'!I141)</f>
        <v/>
      </c>
      <c r="E141" s="8" t="str">
        <f aca="false">IF(A141="","",IF(D141="Pass","Passed",IF(D141="Fail","Rejected","In QC")))</f>
        <v/>
      </c>
      <c r="F141" s="5"/>
      <c r="G141" s="11" t="str">
        <f aca="false">IF(A141="","",'QC Log'!D141)</f>
        <v/>
      </c>
    </row>
    <row r="142" customFormat="false" ht="15" hidden="false" customHeight="false" outlineLevel="0" collapsed="false">
      <c r="A142" s="9" t="str">
        <f aca="false">IF('QC Log'!A142="","",'QC Log'!A142)</f>
        <v/>
      </c>
      <c r="B142" s="9" t="str">
        <f aca="false">IF(A142="","",'QC Log'!B142)</f>
        <v/>
      </c>
      <c r="C142" s="10" t="str">
        <f aca="false">IF(A142="","",'QC Log'!C142)</f>
        <v/>
      </c>
      <c r="D142" s="9" t="str">
        <f aca="false">IF(A142="","",'QC Log'!I142)</f>
        <v/>
      </c>
      <c r="E142" s="8" t="str">
        <f aca="false">IF(A142="","",IF(D142="Pass","Passed",IF(D142="Fail","Rejected","In QC")))</f>
        <v/>
      </c>
      <c r="F142" s="5"/>
      <c r="G142" s="11" t="str">
        <f aca="false">IF(A142="","",'QC Log'!D142)</f>
        <v/>
      </c>
    </row>
    <row r="143" customFormat="false" ht="15" hidden="false" customHeight="false" outlineLevel="0" collapsed="false">
      <c r="A143" s="9" t="str">
        <f aca="false">IF('QC Log'!A143="","",'QC Log'!A143)</f>
        <v/>
      </c>
      <c r="B143" s="9" t="str">
        <f aca="false">IF(A143="","",'QC Log'!B143)</f>
        <v/>
      </c>
      <c r="C143" s="10" t="str">
        <f aca="false">IF(A143="","",'QC Log'!C143)</f>
        <v/>
      </c>
      <c r="D143" s="9" t="str">
        <f aca="false">IF(A143="","",'QC Log'!I143)</f>
        <v/>
      </c>
      <c r="E143" s="8" t="str">
        <f aca="false">IF(A143="","",IF(D143="Pass","Passed",IF(D143="Fail","Rejected","In QC")))</f>
        <v/>
      </c>
      <c r="F143" s="5"/>
      <c r="G143" s="11" t="str">
        <f aca="false">IF(A143="","",'QC Log'!D143)</f>
        <v/>
      </c>
    </row>
    <row r="144" customFormat="false" ht="15" hidden="false" customHeight="false" outlineLevel="0" collapsed="false">
      <c r="A144" s="9" t="str">
        <f aca="false">IF('QC Log'!A144="","",'QC Log'!A144)</f>
        <v/>
      </c>
      <c r="B144" s="9" t="str">
        <f aca="false">IF(A144="","",'QC Log'!B144)</f>
        <v/>
      </c>
      <c r="C144" s="10" t="str">
        <f aca="false">IF(A144="","",'QC Log'!C144)</f>
        <v/>
      </c>
      <c r="D144" s="9" t="str">
        <f aca="false">IF(A144="","",'QC Log'!I144)</f>
        <v/>
      </c>
      <c r="E144" s="8" t="str">
        <f aca="false">IF(A144="","",IF(D144="Pass","Passed",IF(D144="Fail","Rejected","In QC")))</f>
        <v/>
      </c>
      <c r="F144" s="5"/>
      <c r="G144" s="11" t="str">
        <f aca="false">IF(A144="","",'QC Log'!D144)</f>
        <v/>
      </c>
    </row>
    <row r="145" customFormat="false" ht="15" hidden="false" customHeight="false" outlineLevel="0" collapsed="false">
      <c r="A145" s="9" t="str">
        <f aca="false">IF('QC Log'!A145="","",'QC Log'!A145)</f>
        <v/>
      </c>
      <c r="B145" s="9" t="str">
        <f aca="false">IF(A145="","",'QC Log'!B145)</f>
        <v/>
      </c>
      <c r="C145" s="10" t="str">
        <f aca="false">IF(A145="","",'QC Log'!C145)</f>
        <v/>
      </c>
      <c r="D145" s="9" t="str">
        <f aca="false">IF(A145="","",'QC Log'!I145)</f>
        <v/>
      </c>
      <c r="E145" s="8" t="str">
        <f aca="false">IF(A145="","",IF(D145="Pass","Passed",IF(D145="Fail","Rejected","In QC")))</f>
        <v/>
      </c>
      <c r="F145" s="5"/>
      <c r="G145" s="11" t="str">
        <f aca="false">IF(A145="","",'QC Log'!D145)</f>
        <v/>
      </c>
    </row>
    <row r="146" customFormat="false" ht="15" hidden="false" customHeight="false" outlineLevel="0" collapsed="false">
      <c r="A146" s="9" t="str">
        <f aca="false">IF('QC Log'!A146="","",'QC Log'!A146)</f>
        <v/>
      </c>
      <c r="B146" s="9" t="str">
        <f aca="false">IF(A146="","",'QC Log'!B146)</f>
        <v/>
      </c>
      <c r="C146" s="10" t="str">
        <f aca="false">IF(A146="","",'QC Log'!C146)</f>
        <v/>
      </c>
      <c r="D146" s="9" t="str">
        <f aca="false">IF(A146="","",'QC Log'!I146)</f>
        <v/>
      </c>
      <c r="E146" s="8" t="str">
        <f aca="false">IF(A146="","",IF(D146="Pass","Passed",IF(D146="Fail","Rejected","In QC")))</f>
        <v/>
      </c>
      <c r="F146" s="5"/>
      <c r="G146" s="11" t="str">
        <f aca="false">IF(A146="","",'QC Log'!D146)</f>
        <v/>
      </c>
    </row>
    <row r="147" customFormat="false" ht="15" hidden="false" customHeight="false" outlineLevel="0" collapsed="false">
      <c r="A147" s="9" t="str">
        <f aca="false">IF('QC Log'!A147="","",'QC Log'!A147)</f>
        <v/>
      </c>
      <c r="B147" s="9" t="str">
        <f aca="false">IF(A147="","",'QC Log'!B147)</f>
        <v/>
      </c>
      <c r="C147" s="10" t="str">
        <f aca="false">IF(A147="","",'QC Log'!C147)</f>
        <v/>
      </c>
      <c r="D147" s="9" t="str">
        <f aca="false">IF(A147="","",'QC Log'!I147)</f>
        <v/>
      </c>
      <c r="E147" s="8" t="str">
        <f aca="false">IF(A147="","",IF(D147="Pass","Passed",IF(D147="Fail","Rejected","In QC")))</f>
        <v/>
      </c>
      <c r="F147" s="5"/>
      <c r="G147" s="11" t="str">
        <f aca="false">IF(A147="","",'QC Log'!D147)</f>
        <v/>
      </c>
    </row>
    <row r="148" customFormat="false" ht="15" hidden="false" customHeight="false" outlineLevel="0" collapsed="false">
      <c r="A148" s="9" t="str">
        <f aca="false">IF('QC Log'!A148="","",'QC Log'!A148)</f>
        <v/>
      </c>
      <c r="B148" s="9" t="str">
        <f aca="false">IF(A148="","",'QC Log'!B148)</f>
        <v/>
      </c>
      <c r="C148" s="10" t="str">
        <f aca="false">IF(A148="","",'QC Log'!C148)</f>
        <v/>
      </c>
      <c r="D148" s="9" t="str">
        <f aca="false">IF(A148="","",'QC Log'!I148)</f>
        <v/>
      </c>
      <c r="E148" s="8" t="str">
        <f aca="false">IF(A148="","",IF(D148="Pass","Passed",IF(D148="Fail","Rejected","In QC")))</f>
        <v/>
      </c>
      <c r="F148" s="5"/>
      <c r="G148" s="11" t="str">
        <f aca="false">IF(A148="","",'QC Log'!D148)</f>
        <v/>
      </c>
    </row>
    <row r="149" customFormat="false" ht="15" hidden="false" customHeight="false" outlineLevel="0" collapsed="false">
      <c r="A149" s="9" t="str">
        <f aca="false">IF('QC Log'!A149="","",'QC Log'!A149)</f>
        <v/>
      </c>
      <c r="B149" s="9" t="str">
        <f aca="false">IF(A149="","",'QC Log'!B149)</f>
        <v/>
      </c>
      <c r="C149" s="10" t="str">
        <f aca="false">IF(A149="","",'QC Log'!C149)</f>
        <v/>
      </c>
      <c r="D149" s="9" t="str">
        <f aca="false">IF(A149="","",'QC Log'!I149)</f>
        <v/>
      </c>
      <c r="E149" s="8" t="str">
        <f aca="false">IF(A149="","",IF(D149="Pass","Passed",IF(D149="Fail","Rejected","In QC")))</f>
        <v/>
      </c>
      <c r="F149" s="5"/>
      <c r="G149" s="11" t="str">
        <f aca="false">IF(A149="","",'QC Log'!D149)</f>
        <v/>
      </c>
    </row>
    <row r="150" customFormat="false" ht="15" hidden="false" customHeight="false" outlineLevel="0" collapsed="false">
      <c r="A150" s="9" t="str">
        <f aca="false">IF('QC Log'!A150="","",'QC Log'!A150)</f>
        <v/>
      </c>
      <c r="B150" s="9" t="str">
        <f aca="false">IF(A150="","",'QC Log'!B150)</f>
        <v/>
      </c>
      <c r="C150" s="10" t="str">
        <f aca="false">IF(A150="","",'QC Log'!C150)</f>
        <v/>
      </c>
      <c r="D150" s="9" t="str">
        <f aca="false">IF(A150="","",'QC Log'!I150)</f>
        <v/>
      </c>
      <c r="E150" s="8" t="str">
        <f aca="false">IF(A150="","",IF(D150="Pass","Passed",IF(D150="Fail","Rejected","In QC")))</f>
        <v/>
      </c>
      <c r="F150" s="5"/>
      <c r="G150" s="11" t="str">
        <f aca="false">IF(A150="","",'QC Log'!D150)</f>
        <v/>
      </c>
    </row>
    <row r="151" customFormat="false" ht="15" hidden="false" customHeight="false" outlineLevel="0" collapsed="false">
      <c r="A151" s="9" t="str">
        <f aca="false">IF('QC Log'!A151="","",'QC Log'!A151)</f>
        <v/>
      </c>
      <c r="B151" s="9" t="str">
        <f aca="false">IF(A151="","",'QC Log'!B151)</f>
        <v/>
      </c>
      <c r="C151" s="10" t="str">
        <f aca="false">IF(A151="","",'QC Log'!C151)</f>
        <v/>
      </c>
      <c r="D151" s="9" t="str">
        <f aca="false">IF(A151="","",'QC Log'!I151)</f>
        <v/>
      </c>
      <c r="E151" s="8" t="str">
        <f aca="false">IF(A151="","",IF(D151="Pass","Passed",IF(D151="Fail","Rejected","In QC")))</f>
        <v/>
      </c>
      <c r="F151" s="5"/>
      <c r="G151" s="11" t="str">
        <f aca="false">IF(A151="","",'QC Log'!D151)</f>
        <v/>
      </c>
    </row>
    <row r="152" customFormat="false" ht="15" hidden="false" customHeight="false" outlineLevel="0" collapsed="false">
      <c r="A152" s="9" t="str">
        <f aca="false">IF('QC Log'!A152="","",'QC Log'!A152)</f>
        <v/>
      </c>
      <c r="B152" s="9" t="str">
        <f aca="false">IF(A152="","",'QC Log'!B152)</f>
        <v/>
      </c>
      <c r="C152" s="10" t="str">
        <f aca="false">IF(A152="","",'QC Log'!C152)</f>
        <v/>
      </c>
      <c r="D152" s="9" t="str">
        <f aca="false">IF(A152="","",'QC Log'!I152)</f>
        <v/>
      </c>
      <c r="E152" s="8" t="str">
        <f aca="false">IF(A152="","",IF(D152="Pass","Passed",IF(D152="Fail","Rejected","In QC")))</f>
        <v/>
      </c>
      <c r="F152" s="5"/>
      <c r="G152" s="11" t="str">
        <f aca="false">IF(A152="","",'QC Log'!D152)</f>
        <v/>
      </c>
    </row>
    <row r="153" customFormat="false" ht="15" hidden="false" customHeight="false" outlineLevel="0" collapsed="false">
      <c r="A153" s="9" t="str">
        <f aca="false">IF('QC Log'!A153="","",'QC Log'!A153)</f>
        <v/>
      </c>
      <c r="B153" s="9" t="str">
        <f aca="false">IF(A153="","",'QC Log'!B153)</f>
        <v/>
      </c>
      <c r="C153" s="10" t="str">
        <f aca="false">IF(A153="","",'QC Log'!C153)</f>
        <v/>
      </c>
      <c r="D153" s="9" t="str">
        <f aca="false">IF(A153="","",'QC Log'!I153)</f>
        <v/>
      </c>
      <c r="E153" s="8" t="str">
        <f aca="false">IF(A153="","",IF(D153="Pass","Passed",IF(D153="Fail","Rejected","In QC")))</f>
        <v/>
      </c>
      <c r="F153" s="5"/>
      <c r="G153" s="11" t="str">
        <f aca="false">IF(A153="","",'QC Log'!D153)</f>
        <v/>
      </c>
    </row>
    <row r="154" customFormat="false" ht="15" hidden="false" customHeight="false" outlineLevel="0" collapsed="false">
      <c r="A154" s="9" t="str">
        <f aca="false">IF('QC Log'!A154="","",'QC Log'!A154)</f>
        <v/>
      </c>
      <c r="B154" s="9" t="str">
        <f aca="false">IF(A154="","",'QC Log'!B154)</f>
        <v/>
      </c>
      <c r="C154" s="10" t="str">
        <f aca="false">IF(A154="","",'QC Log'!C154)</f>
        <v/>
      </c>
      <c r="D154" s="9" t="str">
        <f aca="false">IF(A154="","",'QC Log'!I154)</f>
        <v/>
      </c>
      <c r="E154" s="8" t="str">
        <f aca="false">IF(A154="","",IF(D154="Pass","Passed",IF(D154="Fail","Rejected","In QC")))</f>
        <v/>
      </c>
      <c r="F154" s="5"/>
      <c r="G154" s="11" t="str">
        <f aca="false">IF(A154="","",'QC Log'!D154)</f>
        <v/>
      </c>
    </row>
    <row r="155" customFormat="false" ht="15" hidden="false" customHeight="false" outlineLevel="0" collapsed="false">
      <c r="A155" s="9" t="str">
        <f aca="false">IF('QC Log'!A155="","",'QC Log'!A155)</f>
        <v/>
      </c>
      <c r="B155" s="9" t="str">
        <f aca="false">IF(A155="","",'QC Log'!B155)</f>
        <v/>
      </c>
      <c r="C155" s="10" t="str">
        <f aca="false">IF(A155="","",'QC Log'!C155)</f>
        <v/>
      </c>
      <c r="D155" s="9" t="str">
        <f aca="false">IF(A155="","",'QC Log'!I155)</f>
        <v/>
      </c>
      <c r="E155" s="8" t="str">
        <f aca="false">IF(A155="","",IF(D155="Pass","Passed",IF(D155="Fail","Rejected","In QC")))</f>
        <v/>
      </c>
      <c r="F155" s="5"/>
      <c r="G155" s="11" t="str">
        <f aca="false">IF(A155="","",'QC Log'!D155)</f>
        <v/>
      </c>
    </row>
    <row r="156" customFormat="false" ht="15" hidden="false" customHeight="false" outlineLevel="0" collapsed="false">
      <c r="A156" s="9" t="str">
        <f aca="false">IF('QC Log'!A156="","",'QC Log'!A156)</f>
        <v/>
      </c>
      <c r="B156" s="9" t="str">
        <f aca="false">IF(A156="","",'QC Log'!B156)</f>
        <v/>
      </c>
      <c r="C156" s="10" t="str">
        <f aca="false">IF(A156="","",'QC Log'!C156)</f>
        <v/>
      </c>
      <c r="D156" s="9" t="str">
        <f aca="false">IF(A156="","",'QC Log'!I156)</f>
        <v/>
      </c>
      <c r="E156" s="8" t="str">
        <f aca="false">IF(A156="","",IF(D156="Pass","Passed",IF(D156="Fail","Rejected","In QC")))</f>
        <v/>
      </c>
      <c r="F156" s="5"/>
      <c r="G156" s="11" t="str">
        <f aca="false">IF(A156="","",'QC Log'!D156)</f>
        <v/>
      </c>
    </row>
    <row r="157" customFormat="false" ht="15" hidden="false" customHeight="false" outlineLevel="0" collapsed="false">
      <c r="A157" s="9" t="str">
        <f aca="false">IF('QC Log'!A157="","",'QC Log'!A157)</f>
        <v/>
      </c>
      <c r="B157" s="9" t="str">
        <f aca="false">IF(A157="","",'QC Log'!B157)</f>
        <v/>
      </c>
      <c r="C157" s="10" t="str">
        <f aca="false">IF(A157="","",'QC Log'!C157)</f>
        <v/>
      </c>
      <c r="D157" s="9" t="str">
        <f aca="false">IF(A157="","",'QC Log'!I157)</f>
        <v/>
      </c>
      <c r="E157" s="8" t="str">
        <f aca="false">IF(A157="","",IF(D157="Pass","Passed",IF(D157="Fail","Rejected","In QC")))</f>
        <v/>
      </c>
      <c r="F157" s="5"/>
      <c r="G157" s="11" t="str">
        <f aca="false">IF(A157="","",'QC Log'!D157)</f>
        <v/>
      </c>
    </row>
    <row r="158" customFormat="false" ht="15" hidden="false" customHeight="false" outlineLevel="0" collapsed="false">
      <c r="A158" s="9" t="str">
        <f aca="false">IF('QC Log'!A158="","",'QC Log'!A158)</f>
        <v/>
      </c>
      <c r="B158" s="9" t="str">
        <f aca="false">IF(A158="","",'QC Log'!B158)</f>
        <v/>
      </c>
      <c r="C158" s="10" t="str">
        <f aca="false">IF(A158="","",'QC Log'!C158)</f>
        <v/>
      </c>
      <c r="D158" s="9" t="str">
        <f aca="false">IF(A158="","",'QC Log'!I158)</f>
        <v/>
      </c>
      <c r="E158" s="8" t="str">
        <f aca="false">IF(A158="","",IF(D158="Pass","Passed",IF(D158="Fail","Rejected","In QC")))</f>
        <v/>
      </c>
      <c r="F158" s="5"/>
      <c r="G158" s="11" t="str">
        <f aca="false">IF(A158="","",'QC Log'!D158)</f>
        <v/>
      </c>
    </row>
    <row r="159" customFormat="false" ht="15" hidden="false" customHeight="false" outlineLevel="0" collapsed="false">
      <c r="A159" s="9" t="str">
        <f aca="false">IF('QC Log'!A159="","",'QC Log'!A159)</f>
        <v/>
      </c>
      <c r="B159" s="9" t="str">
        <f aca="false">IF(A159="","",'QC Log'!B159)</f>
        <v/>
      </c>
      <c r="C159" s="10" t="str">
        <f aca="false">IF(A159="","",'QC Log'!C159)</f>
        <v/>
      </c>
      <c r="D159" s="9" t="str">
        <f aca="false">IF(A159="","",'QC Log'!I159)</f>
        <v/>
      </c>
      <c r="E159" s="8" t="str">
        <f aca="false">IF(A159="","",IF(D159="Pass","Passed",IF(D159="Fail","Rejected","In QC")))</f>
        <v/>
      </c>
      <c r="F159" s="5"/>
      <c r="G159" s="11" t="str">
        <f aca="false">IF(A159="","",'QC Log'!D159)</f>
        <v/>
      </c>
    </row>
    <row r="160" customFormat="false" ht="15" hidden="false" customHeight="false" outlineLevel="0" collapsed="false">
      <c r="A160" s="9" t="str">
        <f aca="false">IF('QC Log'!A160="","",'QC Log'!A160)</f>
        <v/>
      </c>
      <c r="B160" s="9" t="str">
        <f aca="false">IF(A160="","",'QC Log'!B160)</f>
        <v/>
      </c>
      <c r="C160" s="10" t="str">
        <f aca="false">IF(A160="","",'QC Log'!C160)</f>
        <v/>
      </c>
      <c r="D160" s="9" t="str">
        <f aca="false">IF(A160="","",'QC Log'!I160)</f>
        <v/>
      </c>
      <c r="E160" s="8" t="str">
        <f aca="false">IF(A160="","",IF(D160="Pass","Passed",IF(D160="Fail","Rejected","In QC")))</f>
        <v/>
      </c>
      <c r="F160" s="5"/>
      <c r="G160" s="11" t="str">
        <f aca="false">IF(A160="","",'QC Log'!D160)</f>
        <v/>
      </c>
    </row>
    <row r="161" customFormat="false" ht="15" hidden="false" customHeight="false" outlineLevel="0" collapsed="false">
      <c r="A161" s="9" t="str">
        <f aca="false">IF('QC Log'!A161="","",'QC Log'!A161)</f>
        <v/>
      </c>
      <c r="B161" s="9" t="str">
        <f aca="false">IF(A161="","",'QC Log'!B161)</f>
        <v/>
      </c>
      <c r="C161" s="10" t="str">
        <f aca="false">IF(A161="","",'QC Log'!C161)</f>
        <v/>
      </c>
      <c r="D161" s="9" t="str">
        <f aca="false">IF(A161="","",'QC Log'!I161)</f>
        <v/>
      </c>
      <c r="E161" s="8" t="str">
        <f aca="false">IF(A161="","",IF(D161="Pass","Passed",IF(D161="Fail","Rejected","In QC")))</f>
        <v/>
      </c>
      <c r="F161" s="5"/>
      <c r="G161" s="11" t="str">
        <f aca="false">IF(A161="","",'QC Log'!D161)</f>
        <v/>
      </c>
    </row>
    <row r="162" customFormat="false" ht="15" hidden="false" customHeight="false" outlineLevel="0" collapsed="false">
      <c r="A162" s="9" t="str">
        <f aca="false">IF('QC Log'!A162="","",'QC Log'!A162)</f>
        <v/>
      </c>
      <c r="B162" s="9" t="str">
        <f aca="false">IF(A162="","",'QC Log'!B162)</f>
        <v/>
      </c>
      <c r="C162" s="10" t="str">
        <f aca="false">IF(A162="","",'QC Log'!C162)</f>
        <v/>
      </c>
      <c r="D162" s="9" t="str">
        <f aca="false">IF(A162="","",'QC Log'!I162)</f>
        <v/>
      </c>
      <c r="E162" s="8" t="str">
        <f aca="false">IF(A162="","",IF(D162="Pass","Passed",IF(D162="Fail","Rejected","In QC")))</f>
        <v/>
      </c>
      <c r="F162" s="5"/>
      <c r="G162" s="11" t="str">
        <f aca="false">IF(A162="","",'QC Log'!D162)</f>
        <v/>
      </c>
    </row>
    <row r="163" customFormat="false" ht="15" hidden="false" customHeight="false" outlineLevel="0" collapsed="false">
      <c r="A163" s="9" t="str">
        <f aca="false">IF('QC Log'!A163="","",'QC Log'!A163)</f>
        <v/>
      </c>
      <c r="B163" s="9" t="str">
        <f aca="false">IF(A163="","",'QC Log'!B163)</f>
        <v/>
      </c>
      <c r="C163" s="10" t="str">
        <f aca="false">IF(A163="","",'QC Log'!C163)</f>
        <v/>
      </c>
      <c r="D163" s="9" t="str">
        <f aca="false">IF(A163="","",'QC Log'!I163)</f>
        <v/>
      </c>
      <c r="E163" s="8" t="str">
        <f aca="false">IF(A163="","",IF(D163="Pass","Passed",IF(D163="Fail","Rejected","In QC")))</f>
        <v/>
      </c>
      <c r="F163" s="5"/>
      <c r="G163" s="11" t="str">
        <f aca="false">IF(A163="","",'QC Log'!D163)</f>
        <v/>
      </c>
    </row>
    <row r="164" customFormat="false" ht="15" hidden="false" customHeight="false" outlineLevel="0" collapsed="false">
      <c r="A164" s="9" t="str">
        <f aca="false">IF('QC Log'!A164="","",'QC Log'!A164)</f>
        <v/>
      </c>
      <c r="B164" s="9" t="str">
        <f aca="false">IF(A164="","",'QC Log'!B164)</f>
        <v/>
      </c>
      <c r="C164" s="10" t="str">
        <f aca="false">IF(A164="","",'QC Log'!C164)</f>
        <v/>
      </c>
      <c r="D164" s="9" t="str">
        <f aca="false">IF(A164="","",'QC Log'!I164)</f>
        <v/>
      </c>
      <c r="E164" s="8" t="str">
        <f aca="false">IF(A164="","",IF(D164="Pass","Passed",IF(D164="Fail","Rejected","In QC")))</f>
        <v/>
      </c>
      <c r="F164" s="5"/>
      <c r="G164" s="11" t="str">
        <f aca="false">IF(A164="","",'QC Log'!D164)</f>
        <v/>
      </c>
    </row>
    <row r="165" customFormat="false" ht="15" hidden="false" customHeight="false" outlineLevel="0" collapsed="false">
      <c r="A165" s="9" t="str">
        <f aca="false">IF('QC Log'!A165="","",'QC Log'!A165)</f>
        <v/>
      </c>
      <c r="B165" s="9" t="str">
        <f aca="false">IF(A165="","",'QC Log'!B165)</f>
        <v/>
      </c>
      <c r="C165" s="10" t="str">
        <f aca="false">IF(A165="","",'QC Log'!C165)</f>
        <v/>
      </c>
      <c r="D165" s="9" t="str">
        <f aca="false">IF(A165="","",'QC Log'!I165)</f>
        <v/>
      </c>
      <c r="E165" s="8" t="str">
        <f aca="false">IF(A165="","",IF(D165="Pass","Passed",IF(D165="Fail","Rejected","In QC")))</f>
        <v/>
      </c>
      <c r="F165" s="5"/>
      <c r="G165" s="11" t="str">
        <f aca="false">IF(A165="","",'QC Log'!D165)</f>
        <v/>
      </c>
    </row>
    <row r="166" customFormat="false" ht="15" hidden="false" customHeight="false" outlineLevel="0" collapsed="false">
      <c r="A166" s="9" t="str">
        <f aca="false">IF('QC Log'!A166="","",'QC Log'!A166)</f>
        <v/>
      </c>
      <c r="B166" s="9" t="str">
        <f aca="false">IF(A166="","",'QC Log'!B166)</f>
        <v/>
      </c>
      <c r="C166" s="10" t="str">
        <f aca="false">IF(A166="","",'QC Log'!C166)</f>
        <v/>
      </c>
      <c r="D166" s="9" t="str">
        <f aca="false">IF(A166="","",'QC Log'!I166)</f>
        <v/>
      </c>
      <c r="E166" s="8" t="str">
        <f aca="false">IF(A166="","",IF(D166="Pass","Passed",IF(D166="Fail","Rejected","In QC")))</f>
        <v/>
      </c>
      <c r="F166" s="5"/>
      <c r="G166" s="11" t="str">
        <f aca="false">IF(A166="","",'QC Log'!D166)</f>
        <v/>
      </c>
    </row>
    <row r="167" customFormat="false" ht="15" hidden="false" customHeight="false" outlineLevel="0" collapsed="false">
      <c r="A167" s="9" t="str">
        <f aca="false">IF('QC Log'!A167="","",'QC Log'!A167)</f>
        <v/>
      </c>
      <c r="B167" s="9" t="str">
        <f aca="false">IF(A167="","",'QC Log'!B167)</f>
        <v/>
      </c>
      <c r="C167" s="10" t="str">
        <f aca="false">IF(A167="","",'QC Log'!C167)</f>
        <v/>
      </c>
      <c r="D167" s="9" t="str">
        <f aca="false">IF(A167="","",'QC Log'!I167)</f>
        <v/>
      </c>
      <c r="E167" s="8" t="str">
        <f aca="false">IF(A167="","",IF(D167="Pass","Passed",IF(D167="Fail","Rejected","In QC")))</f>
        <v/>
      </c>
      <c r="F167" s="5"/>
      <c r="G167" s="11" t="str">
        <f aca="false">IF(A167="","",'QC Log'!D167)</f>
        <v/>
      </c>
    </row>
    <row r="168" customFormat="false" ht="15" hidden="false" customHeight="false" outlineLevel="0" collapsed="false">
      <c r="A168" s="9" t="str">
        <f aca="false">IF('QC Log'!A168="","",'QC Log'!A168)</f>
        <v/>
      </c>
      <c r="B168" s="9" t="str">
        <f aca="false">IF(A168="","",'QC Log'!B168)</f>
        <v/>
      </c>
      <c r="C168" s="10" t="str">
        <f aca="false">IF(A168="","",'QC Log'!C168)</f>
        <v/>
      </c>
      <c r="D168" s="9" t="str">
        <f aca="false">IF(A168="","",'QC Log'!I168)</f>
        <v/>
      </c>
      <c r="E168" s="8" t="str">
        <f aca="false">IF(A168="","",IF(D168="Pass","Passed",IF(D168="Fail","Rejected","In QC")))</f>
        <v/>
      </c>
      <c r="F168" s="5"/>
      <c r="G168" s="11" t="str">
        <f aca="false">IF(A168="","",'QC Log'!D168)</f>
        <v/>
      </c>
    </row>
    <row r="169" customFormat="false" ht="15" hidden="false" customHeight="false" outlineLevel="0" collapsed="false">
      <c r="A169" s="9" t="str">
        <f aca="false">IF('QC Log'!A169="","",'QC Log'!A169)</f>
        <v/>
      </c>
      <c r="B169" s="9" t="str">
        <f aca="false">IF(A169="","",'QC Log'!B169)</f>
        <v/>
      </c>
      <c r="C169" s="10" t="str">
        <f aca="false">IF(A169="","",'QC Log'!C169)</f>
        <v/>
      </c>
      <c r="D169" s="9" t="str">
        <f aca="false">IF(A169="","",'QC Log'!I169)</f>
        <v/>
      </c>
      <c r="E169" s="8" t="str">
        <f aca="false">IF(A169="","",IF(D169="Pass","Passed",IF(D169="Fail","Rejected","In QC")))</f>
        <v/>
      </c>
      <c r="F169" s="5"/>
      <c r="G169" s="11" t="str">
        <f aca="false">IF(A169="","",'QC Log'!D169)</f>
        <v/>
      </c>
    </row>
    <row r="170" customFormat="false" ht="15" hidden="false" customHeight="false" outlineLevel="0" collapsed="false">
      <c r="A170" s="9" t="str">
        <f aca="false">IF('QC Log'!A170="","",'QC Log'!A170)</f>
        <v/>
      </c>
      <c r="B170" s="9" t="str">
        <f aca="false">IF(A170="","",'QC Log'!B170)</f>
        <v/>
      </c>
      <c r="C170" s="10" t="str">
        <f aca="false">IF(A170="","",'QC Log'!C170)</f>
        <v/>
      </c>
      <c r="D170" s="9" t="str">
        <f aca="false">IF(A170="","",'QC Log'!I170)</f>
        <v/>
      </c>
      <c r="E170" s="8" t="str">
        <f aca="false">IF(A170="","",IF(D170="Pass","Passed",IF(D170="Fail","Rejected","In QC")))</f>
        <v/>
      </c>
      <c r="F170" s="5"/>
      <c r="G170" s="11" t="str">
        <f aca="false">IF(A170="","",'QC Log'!D170)</f>
        <v/>
      </c>
    </row>
    <row r="171" customFormat="false" ht="15" hidden="false" customHeight="false" outlineLevel="0" collapsed="false">
      <c r="A171" s="9" t="str">
        <f aca="false">IF('QC Log'!A171="","",'QC Log'!A171)</f>
        <v/>
      </c>
      <c r="B171" s="9" t="str">
        <f aca="false">IF(A171="","",'QC Log'!B171)</f>
        <v/>
      </c>
      <c r="C171" s="10" t="str">
        <f aca="false">IF(A171="","",'QC Log'!C171)</f>
        <v/>
      </c>
      <c r="D171" s="9" t="str">
        <f aca="false">IF(A171="","",'QC Log'!I171)</f>
        <v/>
      </c>
      <c r="E171" s="8" t="str">
        <f aca="false">IF(A171="","",IF(D171="Pass","Passed",IF(D171="Fail","Rejected","In QC")))</f>
        <v/>
      </c>
      <c r="F171" s="5"/>
      <c r="G171" s="11" t="str">
        <f aca="false">IF(A171="","",'QC Log'!D171)</f>
        <v/>
      </c>
    </row>
    <row r="172" customFormat="false" ht="15" hidden="false" customHeight="false" outlineLevel="0" collapsed="false">
      <c r="A172" s="9" t="str">
        <f aca="false">IF('QC Log'!A172="","",'QC Log'!A172)</f>
        <v/>
      </c>
      <c r="B172" s="9" t="str">
        <f aca="false">IF(A172="","",'QC Log'!B172)</f>
        <v/>
      </c>
      <c r="C172" s="10" t="str">
        <f aca="false">IF(A172="","",'QC Log'!C172)</f>
        <v/>
      </c>
      <c r="D172" s="9" t="str">
        <f aca="false">IF(A172="","",'QC Log'!I172)</f>
        <v/>
      </c>
      <c r="E172" s="8" t="str">
        <f aca="false">IF(A172="","",IF(D172="Pass","Passed",IF(D172="Fail","Rejected","In QC")))</f>
        <v/>
      </c>
      <c r="F172" s="5"/>
      <c r="G172" s="11" t="str">
        <f aca="false">IF(A172="","",'QC Log'!D172)</f>
        <v/>
      </c>
    </row>
    <row r="173" customFormat="false" ht="15" hidden="false" customHeight="false" outlineLevel="0" collapsed="false">
      <c r="A173" s="9" t="str">
        <f aca="false">IF('QC Log'!A173="","",'QC Log'!A173)</f>
        <v/>
      </c>
      <c r="B173" s="9" t="str">
        <f aca="false">IF(A173="","",'QC Log'!B173)</f>
        <v/>
      </c>
      <c r="C173" s="10" t="str">
        <f aca="false">IF(A173="","",'QC Log'!C173)</f>
        <v/>
      </c>
      <c r="D173" s="9" t="str">
        <f aca="false">IF(A173="","",'QC Log'!I173)</f>
        <v/>
      </c>
      <c r="E173" s="8" t="str">
        <f aca="false">IF(A173="","",IF(D173="Pass","Passed",IF(D173="Fail","Rejected","In QC")))</f>
        <v/>
      </c>
      <c r="F173" s="5"/>
      <c r="G173" s="11" t="str">
        <f aca="false">IF(A173="","",'QC Log'!D173)</f>
        <v/>
      </c>
    </row>
    <row r="174" customFormat="false" ht="15" hidden="false" customHeight="false" outlineLevel="0" collapsed="false">
      <c r="A174" s="9" t="str">
        <f aca="false">IF('QC Log'!A174="","",'QC Log'!A174)</f>
        <v/>
      </c>
      <c r="B174" s="9" t="str">
        <f aca="false">IF(A174="","",'QC Log'!B174)</f>
        <v/>
      </c>
      <c r="C174" s="10" t="str">
        <f aca="false">IF(A174="","",'QC Log'!C174)</f>
        <v/>
      </c>
      <c r="D174" s="9" t="str">
        <f aca="false">IF(A174="","",'QC Log'!I174)</f>
        <v/>
      </c>
      <c r="E174" s="8" t="str">
        <f aca="false">IF(A174="","",IF(D174="Pass","Passed",IF(D174="Fail","Rejected","In QC")))</f>
        <v/>
      </c>
      <c r="F174" s="5"/>
      <c r="G174" s="11" t="str">
        <f aca="false">IF(A174="","",'QC Log'!D174)</f>
        <v/>
      </c>
    </row>
    <row r="175" customFormat="false" ht="15" hidden="false" customHeight="false" outlineLevel="0" collapsed="false">
      <c r="A175" s="9" t="str">
        <f aca="false">IF('QC Log'!A175="","",'QC Log'!A175)</f>
        <v/>
      </c>
      <c r="B175" s="9" t="str">
        <f aca="false">IF(A175="","",'QC Log'!B175)</f>
        <v/>
      </c>
      <c r="C175" s="10" t="str">
        <f aca="false">IF(A175="","",'QC Log'!C175)</f>
        <v/>
      </c>
      <c r="D175" s="9" t="str">
        <f aca="false">IF(A175="","",'QC Log'!I175)</f>
        <v/>
      </c>
      <c r="E175" s="8" t="str">
        <f aca="false">IF(A175="","",IF(D175="Pass","Passed",IF(D175="Fail","Rejected","In QC")))</f>
        <v/>
      </c>
      <c r="F175" s="5"/>
      <c r="G175" s="11" t="str">
        <f aca="false">IF(A175="","",'QC Log'!D175)</f>
        <v/>
      </c>
    </row>
    <row r="176" customFormat="false" ht="15" hidden="false" customHeight="false" outlineLevel="0" collapsed="false">
      <c r="A176" s="9" t="str">
        <f aca="false">IF('QC Log'!A176="","",'QC Log'!A176)</f>
        <v/>
      </c>
      <c r="B176" s="9" t="str">
        <f aca="false">IF(A176="","",'QC Log'!B176)</f>
        <v/>
      </c>
      <c r="C176" s="10" t="str">
        <f aca="false">IF(A176="","",'QC Log'!C176)</f>
        <v/>
      </c>
      <c r="D176" s="9" t="str">
        <f aca="false">IF(A176="","",'QC Log'!I176)</f>
        <v/>
      </c>
      <c r="E176" s="8" t="str">
        <f aca="false">IF(A176="","",IF(D176="Pass","Passed",IF(D176="Fail","Rejected","In QC")))</f>
        <v/>
      </c>
      <c r="F176" s="5"/>
      <c r="G176" s="11" t="str">
        <f aca="false">IF(A176="","",'QC Log'!D176)</f>
        <v/>
      </c>
    </row>
    <row r="177" customFormat="false" ht="15" hidden="false" customHeight="false" outlineLevel="0" collapsed="false">
      <c r="A177" s="9" t="str">
        <f aca="false">IF('QC Log'!A177="","",'QC Log'!A177)</f>
        <v/>
      </c>
      <c r="B177" s="9" t="str">
        <f aca="false">IF(A177="","",'QC Log'!B177)</f>
        <v/>
      </c>
      <c r="C177" s="10" t="str">
        <f aca="false">IF(A177="","",'QC Log'!C177)</f>
        <v/>
      </c>
      <c r="D177" s="9" t="str">
        <f aca="false">IF(A177="","",'QC Log'!I177)</f>
        <v/>
      </c>
      <c r="E177" s="8" t="str">
        <f aca="false">IF(A177="","",IF(D177="Pass","Passed",IF(D177="Fail","Rejected","In QC")))</f>
        <v/>
      </c>
      <c r="F177" s="5"/>
      <c r="G177" s="11" t="str">
        <f aca="false">IF(A177="","",'QC Log'!D177)</f>
        <v/>
      </c>
    </row>
    <row r="178" customFormat="false" ht="15" hidden="false" customHeight="false" outlineLevel="0" collapsed="false">
      <c r="A178" s="9" t="str">
        <f aca="false">IF('QC Log'!A178="","",'QC Log'!A178)</f>
        <v/>
      </c>
      <c r="B178" s="9" t="str">
        <f aca="false">IF(A178="","",'QC Log'!B178)</f>
        <v/>
      </c>
      <c r="C178" s="10" t="str">
        <f aca="false">IF(A178="","",'QC Log'!C178)</f>
        <v/>
      </c>
      <c r="D178" s="9" t="str">
        <f aca="false">IF(A178="","",'QC Log'!I178)</f>
        <v/>
      </c>
      <c r="E178" s="8" t="str">
        <f aca="false">IF(A178="","",IF(D178="Pass","Passed",IF(D178="Fail","Rejected","In QC")))</f>
        <v/>
      </c>
      <c r="F178" s="5"/>
      <c r="G178" s="11" t="str">
        <f aca="false">IF(A178="","",'QC Log'!D178)</f>
        <v/>
      </c>
    </row>
    <row r="179" customFormat="false" ht="15" hidden="false" customHeight="false" outlineLevel="0" collapsed="false">
      <c r="A179" s="9" t="str">
        <f aca="false">IF('QC Log'!A179="","",'QC Log'!A179)</f>
        <v/>
      </c>
      <c r="B179" s="9" t="str">
        <f aca="false">IF(A179="","",'QC Log'!B179)</f>
        <v/>
      </c>
      <c r="C179" s="10" t="str">
        <f aca="false">IF(A179="","",'QC Log'!C179)</f>
        <v/>
      </c>
      <c r="D179" s="9" t="str">
        <f aca="false">IF(A179="","",'QC Log'!I179)</f>
        <v/>
      </c>
      <c r="E179" s="8" t="str">
        <f aca="false">IF(A179="","",IF(D179="Pass","Passed",IF(D179="Fail","Rejected","In QC")))</f>
        <v/>
      </c>
      <c r="F179" s="5"/>
      <c r="G179" s="11" t="str">
        <f aca="false">IF(A179="","",'QC Log'!D179)</f>
        <v/>
      </c>
    </row>
    <row r="180" customFormat="false" ht="15" hidden="false" customHeight="false" outlineLevel="0" collapsed="false">
      <c r="A180" s="9" t="str">
        <f aca="false">IF('QC Log'!A180="","",'QC Log'!A180)</f>
        <v/>
      </c>
      <c r="B180" s="9" t="str">
        <f aca="false">IF(A180="","",'QC Log'!B180)</f>
        <v/>
      </c>
      <c r="C180" s="10" t="str">
        <f aca="false">IF(A180="","",'QC Log'!C180)</f>
        <v/>
      </c>
      <c r="D180" s="9" t="str">
        <f aca="false">IF(A180="","",'QC Log'!I180)</f>
        <v/>
      </c>
      <c r="E180" s="8" t="str">
        <f aca="false">IF(A180="","",IF(D180="Pass","Passed",IF(D180="Fail","Rejected","In QC")))</f>
        <v/>
      </c>
      <c r="F180" s="5"/>
      <c r="G180" s="11" t="str">
        <f aca="false">IF(A180="","",'QC Log'!D180)</f>
        <v/>
      </c>
    </row>
    <row r="181" customFormat="false" ht="15" hidden="false" customHeight="false" outlineLevel="0" collapsed="false">
      <c r="A181" s="9" t="str">
        <f aca="false">IF('QC Log'!A181="","",'QC Log'!A181)</f>
        <v/>
      </c>
      <c r="B181" s="9" t="str">
        <f aca="false">IF(A181="","",'QC Log'!B181)</f>
        <v/>
      </c>
      <c r="C181" s="10" t="str">
        <f aca="false">IF(A181="","",'QC Log'!C181)</f>
        <v/>
      </c>
      <c r="D181" s="9" t="str">
        <f aca="false">IF(A181="","",'QC Log'!I181)</f>
        <v/>
      </c>
      <c r="E181" s="8" t="str">
        <f aca="false">IF(A181="","",IF(D181="Pass","Passed",IF(D181="Fail","Rejected","In QC")))</f>
        <v/>
      </c>
      <c r="F181" s="5"/>
      <c r="G181" s="11" t="str">
        <f aca="false">IF(A181="","",'QC Log'!D181)</f>
        <v/>
      </c>
    </row>
    <row r="182" customFormat="false" ht="15" hidden="false" customHeight="false" outlineLevel="0" collapsed="false">
      <c r="A182" s="9" t="str">
        <f aca="false">IF('QC Log'!A182="","",'QC Log'!A182)</f>
        <v/>
      </c>
      <c r="B182" s="9" t="str">
        <f aca="false">IF(A182="","",'QC Log'!B182)</f>
        <v/>
      </c>
      <c r="C182" s="10" t="str">
        <f aca="false">IF(A182="","",'QC Log'!C182)</f>
        <v/>
      </c>
      <c r="D182" s="9" t="str">
        <f aca="false">IF(A182="","",'QC Log'!I182)</f>
        <v/>
      </c>
      <c r="E182" s="8" t="str">
        <f aca="false">IF(A182="","",IF(D182="Pass","Passed",IF(D182="Fail","Rejected","In QC")))</f>
        <v/>
      </c>
      <c r="F182" s="5"/>
      <c r="G182" s="11" t="str">
        <f aca="false">IF(A182="","",'QC Log'!D182)</f>
        <v/>
      </c>
    </row>
    <row r="183" customFormat="false" ht="15" hidden="false" customHeight="false" outlineLevel="0" collapsed="false">
      <c r="A183" s="9" t="str">
        <f aca="false">IF('QC Log'!A183="","",'QC Log'!A183)</f>
        <v/>
      </c>
      <c r="B183" s="9" t="str">
        <f aca="false">IF(A183="","",'QC Log'!B183)</f>
        <v/>
      </c>
      <c r="C183" s="10" t="str">
        <f aca="false">IF(A183="","",'QC Log'!C183)</f>
        <v/>
      </c>
      <c r="D183" s="9" t="str">
        <f aca="false">IF(A183="","",'QC Log'!I183)</f>
        <v/>
      </c>
      <c r="E183" s="8" t="str">
        <f aca="false">IF(A183="","",IF(D183="Pass","Passed",IF(D183="Fail","Rejected","In QC")))</f>
        <v/>
      </c>
      <c r="F183" s="5"/>
      <c r="G183" s="11" t="str">
        <f aca="false">IF(A183="","",'QC Log'!D183)</f>
        <v/>
      </c>
    </row>
    <row r="184" customFormat="false" ht="15" hidden="false" customHeight="false" outlineLevel="0" collapsed="false">
      <c r="A184" s="9" t="str">
        <f aca="false">IF('QC Log'!A184="","",'QC Log'!A184)</f>
        <v/>
      </c>
      <c r="B184" s="9" t="str">
        <f aca="false">IF(A184="","",'QC Log'!B184)</f>
        <v/>
      </c>
      <c r="C184" s="10" t="str">
        <f aca="false">IF(A184="","",'QC Log'!C184)</f>
        <v/>
      </c>
      <c r="D184" s="9" t="str">
        <f aca="false">IF(A184="","",'QC Log'!I184)</f>
        <v/>
      </c>
      <c r="E184" s="8" t="str">
        <f aca="false">IF(A184="","",IF(D184="Pass","Passed",IF(D184="Fail","Rejected","In QC")))</f>
        <v/>
      </c>
      <c r="F184" s="5"/>
      <c r="G184" s="11" t="str">
        <f aca="false">IF(A184="","",'QC Log'!D184)</f>
        <v/>
      </c>
    </row>
    <row r="185" customFormat="false" ht="15" hidden="false" customHeight="false" outlineLevel="0" collapsed="false">
      <c r="A185" s="9" t="str">
        <f aca="false">IF('QC Log'!A185="","",'QC Log'!A185)</f>
        <v/>
      </c>
      <c r="B185" s="9" t="str">
        <f aca="false">IF(A185="","",'QC Log'!B185)</f>
        <v/>
      </c>
      <c r="C185" s="10" t="str">
        <f aca="false">IF(A185="","",'QC Log'!C185)</f>
        <v/>
      </c>
      <c r="D185" s="9" t="str">
        <f aca="false">IF(A185="","",'QC Log'!I185)</f>
        <v/>
      </c>
      <c r="E185" s="8" t="str">
        <f aca="false">IF(A185="","",IF(D185="Pass","Passed",IF(D185="Fail","Rejected","In QC")))</f>
        <v/>
      </c>
      <c r="F185" s="5"/>
      <c r="G185" s="11" t="str">
        <f aca="false">IF(A185="","",'QC Log'!D185)</f>
        <v/>
      </c>
    </row>
    <row r="186" customFormat="false" ht="15" hidden="false" customHeight="false" outlineLevel="0" collapsed="false">
      <c r="A186" s="9" t="str">
        <f aca="false">IF('QC Log'!A186="","",'QC Log'!A186)</f>
        <v/>
      </c>
      <c r="B186" s="9" t="str">
        <f aca="false">IF(A186="","",'QC Log'!B186)</f>
        <v/>
      </c>
      <c r="C186" s="10" t="str">
        <f aca="false">IF(A186="","",'QC Log'!C186)</f>
        <v/>
      </c>
      <c r="D186" s="9" t="str">
        <f aca="false">IF(A186="","",'QC Log'!I186)</f>
        <v/>
      </c>
      <c r="E186" s="8" t="str">
        <f aca="false">IF(A186="","",IF(D186="Pass","Passed",IF(D186="Fail","Rejected","In QC")))</f>
        <v/>
      </c>
      <c r="F186" s="5"/>
      <c r="G186" s="11" t="str">
        <f aca="false">IF(A186="","",'QC Log'!D186)</f>
        <v/>
      </c>
    </row>
    <row r="187" customFormat="false" ht="15" hidden="false" customHeight="false" outlineLevel="0" collapsed="false">
      <c r="A187" s="9" t="str">
        <f aca="false">IF('QC Log'!A187="","",'QC Log'!A187)</f>
        <v/>
      </c>
      <c r="B187" s="9" t="str">
        <f aca="false">IF(A187="","",'QC Log'!B187)</f>
        <v/>
      </c>
      <c r="C187" s="10" t="str">
        <f aca="false">IF(A187="","",'QC Log'!C187)</f>
        <v/>
      </c>
      <c r="D187" s="9" t="str">
        <f aca="false">IF(A187="","",'QC Log'!I187)</f>
        <v/>
      </c>
      <c r="E187" s="8" t="str">
        <f aca="false">IF(A187="","",IF(D187="Pass","Passed",IF(D187="Fail","Rejected","In QC")))</f>
        <v/>
      </c>
      <c r="F187" s="5"/>
      <c r="G187" s="11" t="str">
        <f aca="false">IF(A187="","",'QC Log'!D187)</f>
        <v/>
      </c>
    </row>
    <row r="188" customFormat="false" ht="15" hidden="false" customHeight="false" outlineLevel="0" collapsed="false">
      <c r="A188" s="9" t="str">
        <f aca="false">IF('QC Log'!A188="","",'QC Log'!A188)</f>
        <v/>
      </c>
      <c r="B188" s="9" t="str">
        <f aca="false">IF(A188="","",'QC Log'!B188)</f>
        <v/>
      </c>
      <c r="C188" s="10" t="str">
        <f aca="false">IF(A188="","",'QC Log'!C188)</f>
        <v/>
      </c>
      <c r="D188" s="9" t="str">
        <f aca="false">IF(A188="","",'QC Log'!I188)</f>
        <v/>
      </c>
      <c r="E188" s="8" t="str">
        <f aca="false">IF(A188="","",IF(D188="Pass","Passed",IF(D188="Fail","Rejected","In QC")))</f>
        <v/>
      </c>
      <c r="F188" s="5"/>
      <c r="G188" s="11" t="str">
        <f aca="false">IF(A188="","",'QC Log'!D188)</f>
        <v/>
      </c>
    </row>
    <row r="189" customFormat="false" ht="15" hidden="false" customHeight="false" outlineLevel="0" collapsed="false">
      <c r="A189" s="9" t="str">
        <f aca="false">IF('QC Log'!A189="","",'QC Log'!A189)</f>
        <v/>
      </c>
      <c r="B189" s="9" t="str">
        <f aca="false">IF(A189="","",'QC Log'!B189)</f>
        <v/>
      </c>
      <c r="C189" s="10" t="str">
        <f aca="false">IF(A189="","",'QC Log'!C189)</f>
        <v/>
      </c>
      <c r="D189" s="9" t="str">
        <f aca="false">IF(A189="","",'QC Log'!I189)</f>
        <v/>
      </c>
      <c r="E189" s="8" t="str">
        <f aca="false">IF(A189="","",IF(D189="Pass","Passed",IF(D189="Fail","Rejected","In QC")))</f>
        <v/>
      </c>
      <c r="F189" s="5"/>
      <c r="G189" s="11" t="str">
        <f aca="false">IF(A189="","",'QC Log'!D189)</f>
        <v/>
      </c>
    </row>
    <row r="190" customFormat="false" ht="15" hidden="false" customHeight="false" outlineLevel="0" collapsed="false">
      <c r="A190" s="9" t="str">
        <f aca="false">IF('QC Log'!A190="","",'QC Log'!A190)</f>
        <v/>
      </c>
      <c r="B190" s="9" t="str">
        <f aca="false">IF(A190="","",'QC Log'!B190)</f>
        <v/>
      </c>
      <c r="C190" s="10" t="str">
        <f aca="false">IF(A190="","",'QC Log'!C190)</f>
        <v/>
      </c>
      <c r="D190" s="9" t="str">
        <f aca="false">IF(A190="","",'QC Log'!I190)</f>
        <v/>
      </c>
      <c r="E190" s="8" t="str">
        <f aca="false">IF(A190="","",IF(D190="Pass","Passed",IF(D190="Fail","Rejected","In QC")))</f>
        <v/>
      </c>
      <c r="F190" s="5"/>
      <c r="G190" s="11" t="str">
        <f aca="false">IF(A190="","",'QC Log'!D190)</f>
        <v/>
      </c>
    </row>
    <row r="191" customFormat="false" ht="15" hidden="false" customHeight="false" outlineLevel="0" collapsed="false">
      <c r="A191" s="9" t="str">
        <f aca="false">IF('QC Log'!A191="","",'QC Log'!A191)</f>
        <v/>
      </c>
      <c r="B191" s="9" t="str">
        <f aca="false">IF(A191="","",'QC Log'!B191)</f>
        <v/>
      </c>
      <c r="C191" s="10" t="str">
        <f aca="false">IF(A191="","",'QC Log'!C191)</f>
        <v/>
      </c>
      <c r="D191" s="9" t="str">
        <f aca="false">IF(A191="","",'QC Log'!I191)</f>
        <v/>
      </c>
      <c r="E191" s="8" t="str">
        <f aca="false">IF(A191="","",IF(D191="Pass","Passed",IF(D191="Fail","Rejected","In QC")))</f>
        <v/>
      </c>
      <c r="F191" s="5"/>
      <c r="G191" s="11" t="str">
        <f aca="false">IF(A191="","",'QC Log'!D191)</f>
        <v/>
      </c>
    </row>
    <row r="192" customFormat="false" ht="15" hidden="false" customHeight="false" outlineLevel="0" collapsed="false">
      <c r="A192" s="9" t="str">
        <f aca="false">IF('QC Log'!A192="","",'QC Log'!A192)</f>
        <v/>
      </c>
      <c r="B192" s="9" t="str">
        <f aca="false">IF(A192="","",'QC Log'!B192)</f>
        <v/>
      </c>
      <c r="C192" s="10" t="str">
        <f aca="false">IF(A192="","",'QC Log'!C192)</f>
        <v/>
      </c>
      <c r="D192" s="9" t="str">
        <f aca="false">IF(A192="","",'QC Log'!I192)</f>
        <v/>
      </c>
      <c r="E192" s="8" t="str">
        <f aca="false">IF(A192="","",IF(D192="Pass","Passed",IF(D192="Fail","Rejected","In QC")))</f>
        <v/>
      </c>
      <c r="F192" s="5"/>
      <c r="G192" s="11" t="str">
        <f aca="false">IF(A192="","",'QC Log'!D192)</f>
        <v/>
      </c>
    </row>
    <row r="193" customFormat="false" ht="15" hidden="false" customHeight="false" outlineLevel="0" collapsed="false">
      <c r="A193" s="9" t="str">
        <f aca="false">IF('QC Log'!A193="","",'QC Log'!A193)</f>
        <v/>
      </c>
      <c r="B193" s="9" t="str">
        <f aca="false">IF(A193="","",'QC Log'!B193)</f>
        <v/>
      </c>
      <c r="C193" s="10" t="str">
        <f aca="false">IF(A193="","",'QC Log'!C193)</f>
        <v/>
      </c>
      <c r="D193" s="9" t="str">
        <f aca="false">IF(A193="","",'QC Log'!I193)</f>
        <v/>
      </c>
      <c r="E193" s="8" t="str">
        <f aca="false">IF(A193="","",IF(D193="Pass","Passed",IF(D193="Fail","Rejected","In QC")))</f>
        <v/>
      </c>
      <c r="F193" s="5"/>
      <c r="G193" s="11" t="str">
        <f aca="false">IF(A193="","",'QC Log'!D193)</f>
        <v/>
      </c>
    </row>
    <row r="194" customFormat="false" ht="15" hidden="false" customHeight="false" outlineLevel="0" collapsed="false">
      <c r="A194" s="9" t="str">
        <f aca="false">IF('QC Log'!A194="","",'QC Log'!A194)</f>
        <v/>
      </c>
      <c r="B194" s="9" t="str">
        <f aca="false">IF(A194="","",'QC Log'!B194)</f>
        <v/>
      </c>
      <c r="C194" s="10" t="str">
        <f aca="false">IF(A194="","",'QC Log'!C194)</f>
        <v/>
      </c>
      <c r="D194" s="9" t="str">
        <f aca="false">IF(A194="","",'QC Log'!I194)</f>
        <v/>
      </c>
      <c r="E194" s="8" t="str">
        <f aca="false">IF(A194="","",IF(D194="Pass","Passed",IF(D194="Fail","Rejected","In QC")))</f>
        <v/>
      </c>
      <c r="F194" s="5"/>
      <c r="G194" s="11" t="str">
        <f aca="false">IF(A194="","",'QC Log'!D194)</f>
        <v/>
      </c>
    </row>
    <row r="195" customFormat="false" ht="15" hidden="false" customHeight="false" outlineLevel="0" collapsed="false">
      <c r="A195" s="9" t="str">
        <f aca="false">IF('QC Log'!A195="","",'QC Log'!A195)</f>
        <v/>
      </c>
      <c r="B195" s="9" t="str">
        <f aca="false">IF(A195="","",'QC Log'!B195)</f>
        <v/>
      </c>
      <c r="C195" s="10" t="str">
        <f aca="false">IF(A195="","",'QC Log'!C195)</f>
        <v/>
      </c>
      <c r="D195" s="9" t="str">
        <f aca="false">IF(A195="","",'QC Log'!I195)</f>
        <v/>
      </c>
      <c r="E195" s="8" t="str">
        <f aca="false">IF(A195="","",IF(D195="Pass","Passed",IF(D195="Fail","Rejected","In QC")))</f>
        <v/>
      </c>
      <c r="F195" s="5"/>
      <c r="G195" s="11" t="str">
        <f aca="false">IF(A195="","",'QC Log'!D195)</f>
        <v/>
      </c>
    </row>
    <row r="196" customFormat="false" ht="15" hidden="false" customHeight="false" outlineLevel="0" collapsed="false">
      <c r="A196" s="9" t="str">
        <f aca="false">IF('QC Log'!A196="","",'QC Log'!A196)</f>
        <v/>
      </c>
      <c r="B196" s="9" t="str">
        <f aca="false">IF(A196="","",'QC Log'!B196)</f>
        <v/>
      </c>
      <c r="C196" s="10" t="str">
        <f aca="false">IF(A196="","",'QC Log'!C196)</f>
        <v/>
      </c>
      <c r="D196" s="9" t="str">
        <f aca="false">IF(A196="","",'QC Log'!I196)</f>
        <v/>
      </c>
      <c r="E196" s="8" t="str">
        <f aca="false">IF(A196="","",IF(D196="Pass","Passed",IF(D196="Fail","Rejected","In QC")))</f>
        <v/>
      </c>
      <c r="F196" s="5"/>
      <c r="G196" s="11" t="str">
        <f aca="false">IF(A196="","",'QC Log'!D196)</f>
        <v/>
      </c>
    </row>
    <row r="197" customFormat="false" ht="15" hidden="false" customHeight="false" outlineLevel="0" collapsed="false">
      <c r="A197" s="9" t="str">
        <f aca="false">IF('QC Log'!A197="","",'QC Log'!A197)</f>
        <v/>
      </c>
      <c r="B197" s="9" t="str">
        <f aca="false">IF(A197="","",'QC Log'!B197)</f>
        <v/>
      </c>
      <c r="C197" s="10" t="str">
        <f aca="false">IF(A197="","",'QC Log'!C197)</f>
        <v/>
      </c>
      <c r="D197" s="9" t="str">
        <f aca="false">IF(A197="","",'QC Log'!I197)</f>
        <v/>
      </c>
      <c r="E197" s="8" t="str">
        <f aca="false">IF(A197="","",IF(D197="Pass","Passed",IF(D197="Fail","Rejected","In QC")))</f>
        <v/>
      </c>
      <c r="F197" s="5"/>
      <c r="G197" s="11" t="str">
        <f aca="false">IF(A197="","",'QC Log'!D197)</f>
        <v/>
      </c>
    </row>
    <row r="198" customFormat="false" ht="15" hidden="false" customHeight="false" outlineLevel="0" collapsed="false">
      <c r="A198" s="9" t="str">
        <f aca="false">IF('QC Log'!A198="","",'QC Log'!A198)</f>
        <v/>
      </c>
      <c r="B198" s="9" t="str">
        <f aca="false">IF(A198="","",'QC Log'!B198)</f>
        <v/>
      </c>
      <c r="C198" s="10" t="str">
        <f aca="false">IF(A198="","",'QC Log'!C198)</f>
        <v/>
      </c>
      <c r="D198" s="9" t="str">
        <f aca="false">IF(A198="","",'QC Log'!I198)</f>
        <v/>
      </c>
      <c r="E198" s="8" t="str">
        <f aca="false">IF(A198="","",IF(D198="Pass","Passed",IF(D198="Fail","Rejected","In QC")))</f>
        <v/>
      </c>
      <c r="F198" s="5"/>
      <c r="G198" s="11" t="str">
        <f aca="false">IF(A198="","",'QC Log'!D198)</f>
        <v/>
      </c>
    </row>
    <row r="199" customFormat="false" ht="15" hidden="false" customHeight="false" outlineLevel="0" collapsed="false">
      <c r="A199" s="9" t="str">
        <f aca="false">IF('QC Log'!A199="","",'QC Log'!A199)</f>
        <v/>
      </c>
      <c r="B199" s="9" t="str">
        <f aca="false">IF(A199="","",'QC Log'!B199)</f>
        <v/>
      </c>
      <c r="C199" s="10" t="str">
        <f aca="false">IF(A199="","",'QC Log'!C199)</f>
        <v/>
      </c>
      <c r="D199" s="9" t="str">
        <f aca="false">IF(A199="","",'QC Log'!I199)</f>
        <v/>
      </c>
      <c r="E199" s="8" t="str">
        <f aca="false">IF(A199="","",IF(D199="Pass","Passed",IF(D199="Fail","Rejected","In QC")))</f>
        <v/>
      </c>
      <c r="F199" s="5"/>
      <c r="G199" s="11" t="str">
        <f aca="false">IF(A199="","",'QC Log'!D199)</f>
        <v/>
      </c>
    </row>
    <row r="200" customFormat="false" ht="15" hidden="false" customHeight="false" outlineLevel="0" collapsed="false">
      <c r="A200" s="9" t="str">
        <f aca="false">IF('QC Log'!A200="","",'QC Log'!A200)</f>
        <v/>
      </c>
      <c r="B200" s="9" t="str">
        <f aca="false">IF(A200="","",'QC Log'!B200)</f>
        <v/>
      </c>
      <c r="C200" s="10" t="str">
        <f aca="false">IF(A200="","",'QC Log'!C200)</f>
        <v/>
      </c>
      <c r="D200" s="9" t="str">
        <f aca="false">IF(A200="","",'QC Log'!I200)</f>
        <v/>
      </c>
      <c r="E200" s="8" t="str">
        <f aca="false">IF(A200="","",IF(D200="Pass","Passed",IF(D200="Fail","Rejected","In QC")))</f>
        <v/>
      </c>
      <c r="F200" s="5"/>
      <c r="G200" s="11" t="str">
        <f aca="false">IF(A200="","",'QC Log'!D200)</f>
        <v/>
      </c>
    </row>
  </sheetData>
  <conditionalFormatting sqref="E2:E200">
    <cfRule type="cellIs" priority="2" operator="equal" aboveAverage="0" equalAverage="0" bottom="0" percent="0" rank="0" text="" dxfId="7">
      <formula>"Passed"</formula>
    </cfRule>
    <cfRule type="cellIs" priority="3" operator="equal" aboveAverage="0" equalAverage="0" bottom="0" percent="0" rank="0" text="" dxfId="8">
      <formula>"Rejected"</formula>
    </cfRule>
    <cfRule type="cellIs" priority="4" operator="equal" aboveAverage="0" equalAverage="0" bottom="0" percent="0" rank="0" text="" dxfId="9">
      <formula>"In QC"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5" min="3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4" t="s">
        <v>9</v>
      </c>
      <c r="B3" s="4" t="s">
        <v>58</v>
      </c>
      <c r="C3" s="4" t="s">
        <v>59</v>
      </c>
      <c r="D3" s="4" t="s">
        <v>60</v>
      </c>
      <c r="E3" s="4" t="s">
        <v>61</v>
      </c>
      <c r="F3" s="4" t="s">
        <v>62</v>
      </c>
    </row>
    <row r="4" customFormat="false" ht="15" hidden="false" customHeight="false" outlineLevel="0" collapsed="false">
      <c r="A4" s="12" t="s">
        <v>19</v>
      </c>
      <c r="B4" s="13" t="n">
        <f aca="false">COUNTIF('QC Log'!$B$2:$B$200,A4)</f>
        <v>2</v>
      </c>
      <c r="C4" s="13" t="n">
        <f aca="false">COUNTIFS('QC Log'!$B$2:$B$200,A4,'QC Log'!$I$2:$I$200,"Pass")</f>
        <v>1</v>
      </c>
      <c r="D4" s="13" t="n">
        <f aca="false">COUNTIFS('QC Log'!$B$2:$B$200,A4,'QC Log'!$I$2:$I$200,"Fail")</f>
        <v>1</v>
      </c>
      <c r="E4" s="13" t="n">
        <f aca="false">COUNTIFS('QC Log'!$B$2:$B$200,A4,'QC Log'!$I$2:$I$200,"Pending")</f>
        <v>0</v>
      </c>
      <c r="F4" s="14" t="n">
        <f aca="false">IF(B4=0,0,C4/B4)</f>
        <v>0.5</v>
      </c>
    </row>
    <row r="5" customFormat="false" ht="15" hidden="false" customHeight="false" outlineLevel="0" collapsed="false">
      <c r="A5" s="12" t="s">
        <v>28</v>
      </c>
      <c r="B5" s="13" t="n">
        <f aca="false">COUNTIF('QC Log'!$B$2:$B$200,A5)</f>
        <v>2</v>
      </c>
      <c r="C5" s="13" t="n">
        <f aca="false">COUNTIFS('QC Log'!$B$2:$B$200,A5,'QC Log'!$I$2:$I$200,"Pass")</f>
        <v>1</v>
      </c>
      <c r="D5" s="13" t="n">
        <f aca="false">COUNTIFS('QC Log'!$B$2:$B$200,A5,'QC Log'!$I$2:$I$200,"Fail")</f>
        <v>1</v>
      </c>
      <c r="E5" s="13" t="n">
        <f aca="false">COUNTIFS('QC Log'!$B$2:$B$200,A5,'QC Log'!$I$2:$I$200,"Pending")</f>
        <v>0</v>
      </c>
      <c r="F5" s="14" t="n">
        <f aca="false">IF(B5=0,0,C5/B5)</f>
        <v>0.5</v>
      </c>
    </row>
    <row r="6" customFormat="false" ht="15" hidden="false" customHeight="false" outlineLevel="0" collapsed="false">
      <c r="A6" s="12" t="s">
        <v>35</v>
      </c>
      <c r="B6" s="13" t="n">
        <f aca="false">COUNTIF('QC Log'!$B$2:$B$200,A6)</f>
        <v>2</v>
      </c>
      <c r="C6" s="13" t="n">
        <f aca="false">COUNTIFS('QC Log'!$B$2:$B$200,A6,'QC Log'!$I$2:$I$200,"Pass")</f>
        <v>2</v>
      </c>
      <c r="D6" s="13" t="n">
        <f aca="false">COUNTIFS('QC Log'!$B$2:$B$200,A6,'QC Log'!$I$2:$I$200,"Fail")</f>
        <v>0</v>
      </c>
      <c r="E6" s="13" t="n">
        <f aca="false">COUNTIFS('QC Log'!$B$2:$B$200,A6,'QC Log'!$I$2:$I$200,"Pending")</f>
        <v>0</v>
      </c>
      <c r="F6" s="14" t="n">
        <f aca="false">IF(B6=0,0,C6/B6)</f>
        <v>1</v>
      </c>
    </row>
    <row r="7" customFormat="false" ht="15" hidden="false" customHeight="false" outlineLevel="0" collapsed="false">
      <c r="A7" s="12" t="s">
        <v>40</v>
      </c>
      <c r="B7" s="13" t="n">
        <f aca="false">COUNTIF('QC Log'!$B$2:$B$200,A7)</f>
        <v>1</v>
      </c>
      <c r="C7" s="13" t="n">
        <f aca="false">COUNTIFS('QC Log'!$B$2:$B$200,A7,'QC Log'!$I$2:$I$200,"Pass")</f>
        <v>0</v>
      </c>
      <c r="D7" s="13" t="n">
        <f aca="false">COUNTIFS('QC Log'!$B$2:$B$200,A7,'QC Log'!$I$2:$I$200,"Fail")</f>
        <v>1</v>
      </c>
      <c r="E7" s="13" t="n">
        <f aca="false">COUNTIFS('QC Log'!$B$2:$B$200,A7,'QC Log'!$I$2:$I$200,"Pending")</f>
        <v>0</v>
      </c>
      <c r="F7" s="14" t="n">
        <f aca="false">IF(B7=0,0,C7/B7)</f>
        <v>0</v>
      </c>
    </row>
    <row r="8" customFormat="false" ht="15" hidden="false" customHeight="false" outlineLevel="0" collapsed="false">
      <c r="A8" s="12" t="s">
        <v>45</v>
      </c>
      <c r="B8" s="13" t="n">
        <f aca="false">COUNTIF('QC Log'!$B$2:$B$200,A8)</f>
        <v>1</v>
      </c>
      <c r="C8" s="13" t="n">
        <f aca="false">COUNTIFS('QC Log'!$B$2:$B$200,A8,'QC Log'!$I$2:$I$200,"Pass")</f>
        <v>0</v>
      </c>
      <c r="D8" s="13" t="n">
        <f aca="false">COUNTIFS('QC Log'!$B$2:$B$200,A8,'QC Log'!$I$2:$I$200,"Fail")</f>
        <v>1</v>
      </c>
      <c r="E8" s="13" t="n">
        <f aca="false">COUNTIFS('QC Log'!$B$2:$B$200,A8,'QC Log'!$I$2:$I$200,"Pending")</f>
        <v>0</v>
      </c>
      <c r="F8" s="14" t="n">
        <f aca="false">IF(B8=0,0,C8/B8)</f>
        <v>0</v>
      </c>
    </row>
    <row r="9" customFormat="false" ht="15" hidden="false" customHeight="false" outlineLevel="0" collapsed="false">
      <c r="A9" s="15" t="s">
        <v>63</v>
      </c>
      <c r="B9" s="16" t="n">
        <f aca="false">SUM(B4:B8)</f>
        <v>8</v>
      </c>
      <c r="C9" s="16" t="n">
        <f aca="false">SUM(C4:C8)</f>
        <v>4</v>
      </c>
      <c r="D9" s="16" t="n">
        <f aca="false">SUM(D4:D8)</f>
        <v>4</v>
      </c>
      <c r="E9" s="16" t="n">
        <f aca="false">SUM(E4:E8)</f>
        <v>0</v>
      </c>
      <c r="F9" s="17" t="n">
        <f aca="false">IF(B9=0,0,C9/B9)</f>
        <v>0.5</v>
      </c>
    </row>
    <row r="11" customFormat="false" ht="15" hidden="false" customHeight="false" outlineLevel="0" collapsed="false">
      <c r="A11" s="18" t="s">
        <v>64</v>
      </c>
    </row>
    <row r="12" customFormat="false" ht="15" hidden="false" customHeight="false" outlineLevel="0" collapsed="false">
      <c r="A12" s="4" t="s">
        <v>49</v>
      </c>
      <c r="B12" s="4" t="s">
        <v>65</v>
      </c>
    </row>
    <row r="13" customFormat="false" ht="15" hidden="false" customHeight="false" outlineLevel="0" collapsed="false">
      <c r="A13" s="12" t="s">
        <v>66</v>
      </c>
      <c r="B13" s="13" t="n">
        <f aca="false">COUNTIF(Inventory!$E$2:$E$200,A13)</f>
        <v>4</v>
      </c>
    </row>
    <row r="14" customFormat="false" ht="15" hidden="false" customHeight="false" outlineLevel="0" collapsed="false">
      <c r="A14" s="12" t="s">
        <v>67</v>
      </c>
      <c r="B14" s="13" t="n">
        <f aca="false">COUNTIF(Inventory!$E$2:$E$200,A14)</f>
        <v>4</v>
      </c>
    </row>
    <row r="15" customFormat="false" ht="15" hidden="false" customHeight="false" outlineLevel="0" collapsed="false">
      <c r="A15" s="12" t="s">
        <v>68</v>
      </c>
      <c r="B15" s="13" t="n">
        <f aca="false">COUNTIF(Inventory!$E$2:$E$200,A15)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2026-10-20T15:51:49Z</dcterms:created>
  <dc:creator>openpyxl</dc:creator>
  <dc:description/>
  <dc:language>en-US</dc:language>
  <cp:lastModifiedBy/>
  <dcterms:modified xsi:type="dcterms:W3CDTF">2026-10-20T15:51:49Z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